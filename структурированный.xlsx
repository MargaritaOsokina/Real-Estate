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afaad9a4d3759a5/Desktop/HSE Study/Диссертация/Данные под диплом/"/>
    </mc:Choice>
  </mc:AlternateContent>
  <xr:revisionPtr revIDLastSave="3" documentId="13_ncr:1_{C2AA03FF-DECE-AB47-BD68-BBC3D0E16200}" xr6:coauthVersionLast="47" xr6:coauthVersionMax="47" xr10:uidLastSave="{99BF404C-B221-4C58-8B61-57A907F300FB}"/>
  <bookViews>
    <workbookView xWindow="-110" yWindow="-110" windowWidth="19420" windowHeight="11500" firstSheet="1" activeTab="1" xr2:uid="{00000000-000D-0000-FFFF-FFFF00000000}"/>
  </bookViews>
  <sheets>
    <sheet name="Лист1" sheetId="10" state="hidden" r:id="rId1"/>
    <sheet name="china" sheetId="6" r:id="rId2"/>
    <sheet name="usa" sheetId="7" r:id="rId3"/>
    <sheet name="eu" sheetId="8" r:id="rId4"/>
    <sheet name="ru" sheetId="9" r:id="rId5"/>
  </sheets>
  <externalReferences>
    <externalReference r:id="rId6"/>
  </externalReferenc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R4" i="8" l="1"/>
  <c r="BJ4" i="8"/>
  <c r="EL4" i="8"/>
  <c r="V4" i="8"/>
  <c r="CD4" i="8"/>
  <c r="CX4" i="8"/>
  <c r="AP4" i="8"/>
  <c r="FF4" i="8"/>
  <c r="FZ4" i="8"/>
  <c r="IH4" i="8"/>
  <c r="HN4" i="8"/>
  <c r="GT4" i="8"/>
  <c r="B4" i="8"/>
  <c r="JB4" i="8"/>
  <c r="CD4" i="9"/>
  <c r="BJ4" i="9"/>
  <c r="V4" i="9"/>
  <c r="B4" i="9"/>
  <c r="AP4" i="9"/>
  <c r="BJ4" i="7"/>
  <c r="AP4" i="7"/>
  <c r="EL4" i="7"/>
  <c r="B4" i="7"/>
  <c r="CD4" i="7"/>
  <c r="DR4" i="7"/>
  <c r="CX4" i="7"/>
  <c r="V4" i="7"/>
  <c r="FF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Студент НИУ ВШЭ</author>
  </authors>
  <commentList>
    <comment ref="B15" authorId="0" shapeId="0" xr:uid="{00000000-0006-0000-0500-000004000000}">
      <text>
        <r>
          <rPr>
            <b/>
            <sz val="9"/>
            <color rgb="FF000000"/>
            <rFont val="Tahoma"/>
            <charset val="1"/>
          </rPr>
          <t>You can modify by using Edit Function,which button is on Wind Excel Add-In -Windinfo-Function</t>
        </r>
      </text>
    </comment>
    <comment ref="B28" authorId="0" shapeId="0" xr:uid="{6A4CD797-B278-E545-9110-C960B3035123}">
      <text>
        <r>
          <rPr>
            <b/>
            <sz val="9"/>
            <color rgb="FF000000"/>
            <rFont val="Tahoma"/>
            <charset val="1"/>
          </rPr>
          <t>You can modify by using Edit Function,which button is on Wind Excel Add-In -Windinfo-Function</t>
        </r>
      </text>
    </comment>
    <comment ref="B41" authorId="0" shapeId="0" xr:uid="{00000000-0006-0000-0500-000009000000}">
      <text>
        <r>
          <rPr>
            <b/>
            <sz val="9"/>
            <color rgb="FF000000"/>
            <rFont val="Tahoma"/>
            <charset val="1"/>
          </rPr>
          <t>You can modify by using Edit Function,which button is on Wind Excel Add-In -Windinfo-Function</t>
        </r>
      </text>
    </comment>
    <comment ref="B54" authorId="0" shapeId="0" xr:uid="{00000000-0006-0000-0500-00000B000000}">
      <text>
        <r>
          <rPr>
            <b/>
            <sz val="9"/>
            <color rgb="FF000000"/>
            <rFont val="Tahoma"/>
            <charset val="1"/>
          </rPr>
          <t>You can modify by using Edit Function,which button is on Wind Excel Add-In -Windinfo-Function</t>
        </r>
      </text>
    </comment>
    <comment ref="B67" authorId="0" shapeId="0" xr:uid="{00000000-0006-0000-0500-00000E000000}">
      <text>
        <r>
          <rPr>
            <b/>
            <sz val="9"/>
            <color rgb="FF000000"/>
            <rFont val="Tahoma"/>
            <charset val="1"/>
          </rPr>
          <t>You can modify by using Edit Function,which button is on Wind Excel Add-In -Windinfo-Function</t>
        </r>
      </text>
    </comment>
    <comment ref="B80" authorId="0" shapeId="0" xr:uid="{00000000-0006-0000-0500-000015000000}">
      <text>
        <r>
          <rPr>
            <b/>
            <sz val="9"/>
            <color rgb="FF000000"/>
            <rFont val="Tahoma"/>
            <charset val="1"/>
          </rPr>
          <t>You can modify by using Edit Function,which button is on Wind Excel Add-In -Windinfo-Function</t>
        </r>
      </text>
    </comment>
    <comment ref="B93" authorId="0" shapeId="0" xr:uid="{00000000-0006-0000-0500-000016000000}">
      <text>
        <r>
          <rPr>
            <b/>
            <sz val="9"/>
            <color rgb="FF000000"/>
            <rFont val="Tahoma"/>
            <charset val="1"/>
          </rPr>
          <t>You can modify by using Edit Function,which button is on Wind Excel Add-In -Windinfo-Function</t>
        </r>
      </text>
    </comment>
    <comment ref="B106" authorId="0" shapeId="0" xr:uid="{018EF9D0-5019-E046-AB87-FBAA85AE8B3B}">
      <text>
        <r>
          <rPr>
            <b/>
            <sz val="9"/>
            <color rgb="FF000000"/>
            <rFont val="Tahoma"/>
            <charset val="1"/>
          </rPr>
          <t>You can modify by using Edit Function,which button is on Wind Excel Add-In -Windinfo-Function</t>
        </r>
      </text>
    </comment>
    <comment ref="B119" authorId="0" shapeId="0" xr:uid="{00000000-0006-0000-0500-000018000000}">
      <text>
        <r>
          <rPr>
            <b/>
            <sz val="9"/>
            <color rgb="FF000000"/>
            <rFont val="Tahoma"/>
            <charset val="1"/>
          </rPr>
          <t>You can modify by using Edit Function,which button is on Wind Excel Add-In -Windinfo-Function</t>
        </r>
      </text>
    </comment>
    <comment ref="B132" authorId="0" shapeId="0" xr:uid="{00000000-0006-0000-0500-000017000000}">
      <text>
        <r>
          <rPr>
            <b/>
            <sz val="9"/>
            <color rgb="FF000000"/>
            <rFont val="Tahoma"/>
            <charset val="1"/>
          </rPr>
          <t>You can modify by using Edit Function,which button is on Wind Excel Add-In -Windinfo-Function</t>
        </r>
      </text>
    </comment>
    <comment ref="B145" authorId="0" shapeId="0" xr:uid="{00000000-0006-0000-0500-000019000000}">
      <text>
        <r>
          <rPr>
            <b/>
            <sz val="9"/>
            <color rgb="FF000000"/>
            <rFont val="Tahoma"/>
            <charset val="1"/>
          </rPr>
          <t>You can modify by using Edit Function,which button is on Wind Excel Add-In -Windinfo-Function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Студент НИУ ВШЭ</author>
  </authors>
  <commentList>
    <comment ref="B4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V4" authorId="0" shapeId="0" xr:uid="{00000000-0006-0000-0600-000002000000}">
      <text>
        <r>
          <rPr>
            <b/>
            <sz val="9"/>
            <color rgb="FF000000"/>
            <rFont val="Tahoma"/>
            <charset val="1"/>
          </rPr>
          <t>You can modify by using Edit Function,which button is on Wind Excel Add-In -Windinfo-Function</t>
        </r>
      </text>
    </comment>
    <comment ref="AP4" authorId="0" shapeId="0" xr:uid="{00000000-0006-0000-0600-000003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BJ4" authorId="0" shapeId="0" xr:uid="{00000000-0006-0000-0600-000004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CD4" authorId="0" shapeId="0" xr:uid="{00000000-0006-0000-0600-000005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CX4" authorId="0" shapeId="0" xr:uid="{00000000-0006-0000-0600-000006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DR4" authorId="0" shapeId="0" xr:uid="{00000000-0006-0000-0600-000007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EL4" authorId="0" shapeId="0" xr:uid="{00000000-0006-0000-0600-000008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FF4" authorId="0" shapeId="0" xr:uid="{00000000-0006-0000-0600-000009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Студент НИУ ВШЭ</author>
  </authors>
  <commentList>
    <comment ref="B4" authorId="0" shapeId="0" xr:uid="{00000000-0006-0000-0700-000001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V4" authorId="0" shapeId="0" xr:uid="{00000000-0006-0000-0700-000002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AP4" authorId="0" shapeId="0" xr:uid="{00000000-0006-0000-0700-000003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BJ4" authorId="0" shapeId="0" xr:uid="{00000000-0006-0000-0700-000004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CD4" authorId="0" shapeId="0" xr:uid="{00000000-0006-0000-0700-000005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CX4" authorId="0" shapeId="0" xr:uid="{00000000-0006-0000-0700-000006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DR4" authorId="0" shapeId="0" xr:uid="{00000000-0006-0000-0700-000007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EL4" authorId="0" shapeId="0" xr:uid="{00000000-0006-0000-0700-000008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FF4" authorId="0" shapeId="0" xr:uid="{00000000-0006-0000-0700-000009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FZ4" authorId="0" shapeId="0" xr:uid="{00000000-0006-0000-0700-00000A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GT4" authorId="0" shapeId="0" xr:uid="{00000000-0006-0000-0700-00000B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HN4" authorId="0" shapeId="0" xr:uid="{00000000-0006-0000-0700-00000C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IH4" authorId="0" shapeId="0" xr:uid="{00000000-0006-0000-0700-00000D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JB4" authorId="0" shapeId="0" xr:uid="{00000000-0006-0000-0700-00000E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Студент НИУ ВШЭ</author>
  </authors>
  <commentList>
    <comment ref="B4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V4" authorId="0" shapeId="0" xr:uid="{00000000-0006-0000-0800-000002000000}">
      <text>
        <r>
          <rPr>
            <b/>
            <sz val="9"/>
            <color rgb="FF000000"/>
            <rFont val="Tahoma"/>
            <charset val="1"/>
          </rPr>
          <t>You can modify by using Edit Function,which button is on Wind Excel Add-In -Windinfo-Function</t>
        </r>
      </text>
    </comment>
    <comment ref="AP4" authorId="0" shapeId="0" xr:uid="{00000000-0006-0000-0800-000003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BJ4" authorId="0" shapeId="0" xr:uid="{00000000-0006-0000-0800-000004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  <comment ref="CD4" authorId="0" shapeId="0" xr:uid="{00000000-0006-0000-0800-000005000000}">
      <text>
        <r>
          <rPr>
            <b/>
            <sz val="9"/>
            <color indexed="81"/>
            <rFont val="Tahoma"/>
            <charset val="1"/>
          </rPr>
          <t>You can modify by using Edit Function,which button is on Wind Excel Add-In -Windinfo-Function</t>
        </r>
      </text>
    </comment>
  </commentList>
</comments>
</file>

<file path=xl/sharedStrings.xml><?xml version="1.0" encoding="utf-8"?>
<sst xmlns="http://schemas.openxmlformats.org/spreadsheetml/2006/main" count="3611" uniqueCount="163">
  <si>
    <t>Symbol</t>
  </si>
  <si>
    <t>日期</t>
  </si>
  <si>
    <t>Date</t>
  </si>
  <si>
    <t>Total Assets
[unit]1</t>
  </si>
  <si>
    <t>Market Cap1
[unit]1</t>
  </si>
  <si>
    <t>EBIT (Inverse Method)
[unit]1</t>
  </si>
  <si>
    <t>Interest Expense
[unit]1</t>
  </si>
  <si>
    <t>Total Revenue
[unit]1</t>
  </si>
  <si>
    <t>Total current assets
[unit]1</t>
  </si>
  <si>
    <t>Total Current Liabilities
[unit]1</t>
  </si>
  <si>
    <t>Total Shareholders’ Equity
[unit]1</t>
  </si>
  <si>
    <t>National or regional code to which the listing belongs</t>
  </si>
  <si>
    <t>tot_assets</t>
  </si>
  <si>
    <t>ev</t>
  </si>
  <si>
    <t>ebit</t>
  </si>
  <si>
    <t>int_exp</t>
  </si>
  <si>
    <t>oper_rev</t>
  </si>
  <si>
    <t>tot_cur_assets</t>
  </si>
  <si>
    <t>tot_cur_liab</t>
  </si>
  <si>
    <t>tot_equity</t>
  </si>
  <si>
    <t>industry2</t>
  </si>
  <si>
    <t>country</t>
  </si>
  <si>
    <t>HK</t>
  </si>
  <si>
    <t/>
  </si>
  <si>
    <t>Interest Bearing Debt Ratio</t>
  </si>
  <si>
    <t>ibdebtratio</t>
  </si>
  <si>
    <t>Real Estate</t>
  </si>
  <si>
    <t>Industrials</t>
  </si>
  <si>
    <t>CN</t>
  </si>
  <si>
    <t>BPY.O</t>
  </si>
  <si>
    <t>Industry Name (Support Historical)
[industryStandard]Sectors
[industryType]Wind Industry (2024)</t>
  </si>
  <si>
    <t>English Name of the Company</t>
  </si>
  <si>
    <t>comp_name_eng</t>
  </si>
  <si>
    <t>US</t>
  </si>
  <si>
    <t>Brookfield Property Partners L.P.</t>
  </si>
  <si>
    <t>Country Garden Holdings Co. Ltd</t>
  </si>
  <si>
    <t>Guangzhou R&amp;F Properties Co.,Ltd.</t>
  </si>
  <si>
    <t>Shimao Group Holdings Limited</t>
  </si>
  <si>
    <t>Yuzhou Group Holdings Company Limited</t>
  </si>
  <si>
    <t>Powerlong Real Estate Holdings Limited</t>
  </si>
  <si>
    <t>Agile Group Holdings Limited</t>
  </si>
  <si>
    <t>Yango Group Co.,Ltd</t>
  </si>
  <si>
    <t>China Fortune Land Development Co.,Ltd.</t>
  </si>
  <si>
    <t>Hainan Airlines Holding Co., Ltd.</t>
  </si>
  <si>
    <t>Gemdale Corporation</t>
  </si>
  <si>
    <t>Tahoe Group Co., Ltd.</t>
  </si>
  <si>
    <t>Total Liabilities
[unit]1</t>
  </si>
  <si>
    <t>Close (D)</t>
  </si>
  <si>
    <t>Total Market Capitalization (Backtesting Unavailable)
[unit]1</t>
  </si>
  <si>
    <t>EBITDA (Inverse Method)
[unit]1</t>
  </si>
  <si>
    <t>tot_liab</t>
  </si>
  <si>
    <t>close</t>
  </si>
  <si>
    <t>mkt_cap</t>
  </si>
  <si>
    <t>ebitda</t>
  </si>
  <si>
    <t>Cash Flow Operation Index</t>
  </si>
  <si>
    <t>Net Cash Flow from Operating Activities as %</t>
  </si>
  <si>
    <t>ocftoop</t>
  </si>
  <si>
    <t>ocftocf</t>
  </si>
  <si>
    <t>CBL.N</t>
  </si>
  <si>
    <t>MAC.N</t>
  </si>
  <si>
    <t>SKT.N</t>
  </si>
  <si>
    <t>SHLDQ.OO</t>
  </si>
  <si>
    <t>STAR.N</t>
  </si>
  <si>
    <t>SAFE.N</t>
  </si>
  <si>
    <t>FCE_A.N</t>
  </si>
  <si>
    <t>EQC.N</t>
  </si>
  <si>
    <t>Tanger Inc.</t>
  </si>
  <si>
    <t>The Macerich Company</t>
  </si>
  <si>
    <t>Forest City Realty Trust, Inc.</t>
  </si>
  <si>
    <t>Sears Holdings Corporation</t>
  </si>
  <si>
    <t>Financials</t>
  </si>
  <si>
    <t>CBL &amp; Associates Properties, Inc.</t>
  </si>
  <si>
    <t>Safehold Inc.</t>
  </si>
  <si>
    <t>Istar Inc.</t>
  </si>
  <si>
    <t>Equity Commonwealth</t>
  </si>
  <si>
    <t>URW.AS</t>
  </si>
  <si>
    <t>LI.PA</t>
  </si>
  <si>
    <t>HMSO.L</t>
  </si>
  <si>
    <t>INTU.L</t>
  </si>
  <si>
    <t>CAI.VI</t>
  </si>
  <si>
    <t>CAST.ST</t>
  </si>
  <si>
    <t>SHB.L</t>
  </si>
  <si>
    <t>BLND.L</t>
  </si>
  <si>
    <t>NRR.L</t>
  </si>
  <si>
    <t>GFC.PA</t>
  </si>
  <si>
    <t>NSI.AS</t>
  </si>
  <si>
    <t>VASTN.AS</t>
  </si>
  <si>
    <t>FABG.ST</t>
  </si>
  <si>
    <t>WIHL.ST</t>
  </si>
  <si>
    <t>GB</t>
  </si>
  <si>
    <t>INTU PROPERTIES PLC</t>
  </si>
  <si>
    <t>SHAFTESBURY PLC</t>
  </si>
  <si>
    <t>BRITISH LAND CO PLC</t>
  </si>
  <si>
    <t>FR</t>
  </si>
  <si>
    <t>Klepierre S.A.</t>
  </si>
  <si>
    <t>AT</t>
  </si>
  <si>
    <t>CA Immobilien Anlagen AG</t>
  </si>
  <si>
    <t>SE</t>
  </si>
  <si>
    <t>CASTELLUM ORD</t>
  </si>
  <si>
    <t>HAMMERSON PLC</t>
  </si>
  <si>
    <t>NEWRIVER REIT PLC</t>
  </si>
  <si>
    <t>Gecina S.A.</t>
  </si>
  <si>
    <t>FABEGE AB</t>
  </si>
  <si>
    <t>NL</t>
  </si>
  <si>
    <t>UNIBAIL-RODAMCO-WESTFIELD SE</t>
  </si>
  <si>
    <t>VASTNED RETAIL</t>
  </si>
  <si>
    <t>WIHLBORGS FAST</t>
  </si>
  <si>
    <t>PIKK.MCX</t>
  </si>
  <si>
    <t>ETLN.MCX</t>
  </si>
  <si>
    <t>LSRG.MCX</t>
  </si>
  <si>
    <t>SMLT.MCX</t>
  </si>
  <si>
    <t>FEES.MCX</t>
  </si>
  <si>
    <t>RU</t>
  </si>
  <si>
    <t>GRUPPA LSR PAO</t>
  </si>
  <si>
    <t>Consumer Discretionary</t>
  </si>
  <si>
    <t>GRUPPA KOMPANIY PIK PAO</t>
  </si>
  <si>
    <t>ETALON GROUP PLC</t>
  </si>
  <si>
    <t>Samolet Group Public Joint Stock Company</t>
  </si>
  <si>
    <t>Utilities</t>
  </si>
  <si>
    <t>Federal Grid Co Unified Energy System Jsc</t>
  </si>
  <si>
    <t>SL GREEN REALTY CORP</t>
  </si>
  <si>
    <t>VORNADO REALTY TRUST</t>
  </si>
  <si>
    <t>BXP, Inc.</t>
  </si>
  <si>
    <t>ALEXANDRIA REAL ESTATE EQUITIES, INC.</t>
  </si>
  <si>
    <t>REGENCY CENTERS CORP</t>
  </si>
  <si>
    <t>SIMON PROPERTY GROUP INC.</t>
  </si>
  <si>
    <t>MACERICH CO</t>
  </si>
  <si>
    <t>KITE REALTY GROUP TRUST</t>
  </si>
  <si>
    <t>Ventas, Inc.</t>
  </si>
  <si>
    <t>EQUITY RESIDENTIAL</t>
  </si>
  <si>
    <t>AVALONBAY COMMUNITIES INC</t>
  </si>
  <si>
    <t>UDR, Inc.</t>
  </si>
  <si>
    <t>ESSEX PROPERTY TRUST, INC.</t>
  </si>
  <si>
    <t>MID AMERICA APARTMENT COMMUNITIES INC.</t>
  </si>
  <si>
    <t>Prologis, Inc.</t>
  </si>
  <si>
    <t>REALTY INCOME CORP</t>
  </si>
  <si>
    <t>FEDERAL REALTY INVESTMENT TRUST</t>
  </si>
  <si>
    <t>CAMDEN PROPERTY TRUST</t>
  </si>
  <si>
    <t>HOST HOTELS &amp; RESORTS, INC.</t>
  </si>
  <si>
    <t>Country</t>
  </si>
  <si>
    <t>China</t>
  </si>
  <si>
    <t>USA</t>
  </si>
  <si>
    <t>Total Market Capitalization (Backtesting Unavailable) [unit]1</t>
  </si>
  <si>
    <t>Industry Name (Support Historical) [industryStandard]Sectors[industryType]Wind Industry (2024)</t>
  </si>
  <si>
    <t>Total Liabilities [unit]1</t>
  </si>
  <si>
    <t>Названия строк</t>
  </si>
  <si>
    <t>Общий итог</t>
  </si>
  <si>
    <t>Сумма по полю Total Revenue</t>
  </si>
  <si>
    <t>Названия столбцов</t>
  </si>
  <si>
    <t>1905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</si>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</sst>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y\y\y\y\-\m\m\-\d\d"/>
    <numFmt numFmtId="165" formatCode="000000"/>
  </numFmts>
  <fonts count="3" x14ac:knownFonts="1">
    <font>
      <sz val="11"/>
      <color theme="1"/>
      <name val="Calibri"/>
      <family val="2"/>
      <charset val="204"/>
      <scheme val="minor"/>
    </font>
    <font>
      <b/>
      <sz val="9"/>
      <color indexed="81"/>
      <name val="Tahoma"/>
      <charset val="1"/>
    </font>
    <font>
      <b/>
      <sz val="9"/>
      <color rgb="FF000000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0" fontId="0" fillId="2" borderId="1" xfId="0" applyNumberFormat="1" applyFill="1" applyBorder="1" applyAlignment="1">
      <alignment horizontal="right"/>
    </xf>
    <xf numFmtId="0" fontId="0" fillId="3" borderId="0" xfId="0" applyNumberFormat="1" applyFill="1" applyAlignment="1">
      <alignment horizontal="right"/>
    </xf>
    <xf numFmtId="0" fontId="0" fillId="3" borderId="0" xfId="0" applyNumberFormat="1" applyFill="1" applyAlignment="1">
      <alignment horizontal="right" wrapText="1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22"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0" formatCode="General"/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WindFunc"/>
    </sheetNames>
    <definedNames>
      <definedName name="WSD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4.755433680555" createdVersion="7" refreshedVersion="7" minRefreshableVersion="3" recordCount="400" xr:uid="{C34CAEAE-5278-4FB7-AB4A-A54CEE8F2950}">
  <cacheSource type="worksheet">
    <worksheetSource name="Таблица1"/>
  </cacheSource>
  <cacheFields count="22">
    <cacheField name="Date" numFmtId="14">
      <sharedItems containsSemiMixedTypes="0" containsNonDate="0" containsDate="1" containsString="0" minDate="1905-07-04T00:00:00" maxDate="2025-01-01T00:00:00" count="26">
        <d v="2012-12-31T00:00:00"/>
        <d v="2013-12-31T00:00:00"/>
        <d v="2014-12-31T00:00:00"/>
        <d v="2015-12-31T00:00:00"/>
        <d v="2016-12-31T00:00:00"/>
        <d v="2017-12-31T00:00:00"/>
        <d v="2018-12-31T00:00:00"/>
        <d v="2019-12-31T00:00:00"/>
        <d v="2020-12-31T00:00:00"/>
        <d v="2021-12-31T00:00:00"/>
        <d v="2022-12-31T00:00:00"/>
        <d v="2023-12-31T00:00:00"/>
        <d v="2024-12-31T00:00:00"/>
        <d v="1905-07-04T00:00:00"/>
        <d v="1905-07-05T00:00:00"/>
        <d v="1905-07-06T00:00:00"/>
        <d v="1905-07-07T00:00:00"/>
        <d v="1905-07-08T00:00:00"/>
        <d v="1905-07-09T00:00:00"/>
        <d v="1905-07-10T00:00:00"/>
        <d v="1905-07-11T00:00:00"/>
        <d v="1905-07-12T00:00:00"/>
        <d v="1905-07-13T00:00:00"/>
        <d v="1905-07-14T00:00:00"/>
        <d v="1905-07-15T00:00:00"/>
        <d v="1905-07-16T00:00:00"/>
      </sharedItems>
      <fieldGroup par="21" base="0">
        <rangePr groupBy="months" startDate="1905-07-04T00:00:00" endDate="2025-01-01T00:00:00"/>
        <groupItems count="14">
          <s v="&lt;04.07.190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5"/>
        </groupItems>
      </fieldGroup>
    </cacheField>
    <cacheField name="Total Assets_x000a_[unit]1" numFmtId="3">
      <sharedItems containsString="0" containsBlank="1" containsNumber="1" minValue="1288656905" maxValue="2015809000000"/>
    </cacheField>
    <cacheField name="Market Cap1_x000a_[unit]1" numFmtId="3">
      <sharedItems containsString="0" containsBlank="1" containsNumber="1" minValue="484249303" maxValue="317070342851.79999"/>
    </cacheField>
    <cacheField name="EBIT (Inverse Method)_x000a_[unit]1" numFmtId="3">
      <sharedItems containsString="0" containsBlank="1" containsNumber="1" minValue="-163408000000" maxValue="96568000000"/>
    </cacheField>
    <cacheField name="EBITDA (Inverse Method)_x000a_[unit]1" numFmtId="3">
      <sharedItems containsString="0" containsBlank="1" containsNumber="1" minValue="-161032000000" maxValue="98116000000"/>
    </cacheField>
    <cacheField name="Interest Expense_x000a_[unit]1" numFmtId="3">
      <sharedItems containsString="0" containsBlank="1" containsNumber="1" containsInteger="1" minValue="700000" maxValue="1137139000"/>
    </cacheField>
    <cacheField name="Cash Flow Operation Index" numFmtId="3">
      <sharedItems containsString="0" containsBlank="1" containsNumber="1" minValue="-2111.5704828789553" maxValue="6.6515419661595612"/>
    </cacheField>
    <cacheField name="Net Cash Flow from Operating Activities as %" numFmtId="3">
      <sharedItems containsString="0" containsBlank="1" containsNumber="1" minValue="-79187.104278360304" maxValue="6690.9030406911397"/>
    </cacheField>
    <cacheField name="Total Revenue_x000a_[unit]1" numFmtId="3">
      <sharedItems containsString="0" containsBlank="1" containsNumber="1" minValue="3451000" maxValue="523064000000"/>
    </cacheField>
    <cacheField name="Total current assets_x000a_[unit]1" numFmtId="3">
      <sharedItems containsString="0" containsBlank="1" containsNumber="1" minValue="12919185392.889999" maxValue="1742156000000"/>
    </cacheField>
    <cacheField name="Total Current Liabilities_x000a_[unit]1" numFmtId="3">
      <sharedItems containsString="0" containsBlank="1" containsNumber="1" minValue="5251590954.5500002" maxValue="1492959000000"/>
    </cacheField>
    <cacheField name="Total Shareholders’ Equity_x000a_[unit]1" numFmtId="3">
      <sharedItems containsString="0" containsBlank="1" containsNumber="1" minValue="-22430689527.029999" maxValue="309573000000"/>
    </cacheField>
    <cacheField name="Close (D)" numFmtId="3">
      <sharedItems containsString="0" containsBlank="1" containsNumber="1" minValue="7.3999999999999996E-2" maxValue="43.6"/>
    </cacheField>
    <cacheField name="Total Liabilities [unit]1" numFmtId="3">
      <sharedItems containsString="0" containsBlank="1" containsNumber="1" minValue="774365441" maxValue="1758806000000"/>
    </cacheField>
    <cacheField name="Total Market Capitalization (Backtesting Unavailable) [unit]1" numFmtId="3">
      <sharedItems containsString="0" containsBlank="1" containsNumber="1" minValue="484249303" maxValue="317070342851.79999"/>
    </cacheField>
    <cacheField name="Industry Name (Support Historical) [industryStandard]Sectors[industryType]Wind Industry (2024)" numFmtId="3">
      <sharedItems/>
    </cacheField>
    <cacheField name="National or regional code to which the listing belongs" numFmtId="3">
      <sharedItems containsBlank="1"/>
    </cacheField>
    <cacheField name="Interest Bearing Debt Ratio" numFmtId="3">
      <sharedItems containsString="0" containsBlank="1" containsNumber="1" minValue="0.32841080602922662" maxValue="84.907533564959493"/>
    </cacheField>
    <cacheField name="English Name of the Company" numFmtId="3">
      <sharedItems count="30">
        <s v="Country Garden Holdings Co. Ltd"/>
        <s v="Shimao Group Holdings Limited"/>
        <s v="Yuzhou Group Holdings Company Limited"/>
        <s v="Guangzhou R&amp;F Properties Co.,Ltd."/>
        <s v="Agile Group Holdings Limited"/>
        <s v="Powerlong Real Estate Holdings Limited"/>
        <s v="Yango Group Co.,Ltd"/>
        <s v="China Fortune Land Development Co.,Ltd."/>
        <s v="Tahoe Group Co., Ltd."/>
        <s v="Hainan Airlines Holding Co., Ltd."/>
        <s v="Gemdale Corporation"/>
        <s v="SL GREEN REALTY CORP"/>
        <s v="VORNADO REALTY TRUST"/>
        <s v="BXP, Inc."/>
        <s v="ALEXANDRIA REAL ESTATE EQUITIES, INC."/>
        <s v="REGENCY CENTERS CORP"/>
        <s v="SIMON PROPERTY GROUP INC."/>
        <s v="MACERICH CO"/>
        <s v="KITE REALTY GROUP TRUST"/>
        <s v="Ventas, Inc."/>
        <s v="EQUITY RESIDENTIAL"/>
        <s v="AVALONBAY COMMUNITIES INC"/>
        <s v="UDR, Inc."/>
        <s v="ESSEX PROPERTY TRUST, INC."/>
        <s v="MID AMERICA APARTMENT COMMUNITIES INC."/>
        <s v="Prologis, Inc."/>
        <s v="REALTY INCOME CORP"/>
        <s v="FEDERAL REALTY INVESTMENT TRUST"/>
        <s v="CAMDEN PROPERTY TRUST"/>
        <s v="HOST HOTELS &amp; RESORTS, INC."/>
      </sharedItems>
    </cacheField>
    <cacheField name="Country" numFmtId="3">
      <sharedItems/>
    </cacheField>
    <cacheField name="Кварталы" numFmtId="0" databaseField="0">
      <fieldGroup base="0">
        <rangePr groupBy="quarters" startDate="1905-07-04T00:00:00" endDate="2025-01-01T00:00:00"/>
        <groupItems count="6">
          <s v="&lt;04.07.1905"/>
          <s v="Кв-л1"/>
          <s v="Кв-л2"/>
          <s v="Кв-л3"/>
          <s v="Кв-л4"/>
          <s v="&gt;01.01.2025"/>
        </groupItems>
      </fieldGroup>
    </cacheField>
    <cacheField name="Годы" numFmtId="0" databaseField="0">
      <fieldGroup base="0">
        <rangePr groupBy="years" startDate="1905-07-04T00:00:00" endDate="2025-01-01T00:00:00"/>
        <groupItems count="123">
          <s v="&lt;04.07.1905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1.01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n v="361956330000"/>
    <n v="74012420225.23999"/>
    <n v="11689251000"/>
    <n v="12116122000"/>
    <m/>
    <m/>
    <m/>
    <n v="41890984000"/>
    <m/>
    <m/>
    <m/>
    <n v="4.0599999999999996"/>
    <m/>
    <n v="74012420225.23999"/>
    <s v="Real Estate"/>
    <s v="HK"/>
    <m/>
    <x v="0"/>
    <s v="China"/>
  </r>
  <r>
    <x v="1"/>
    <n v="206239430000"/>
    <n v="86381259948.360001"/>
    <n v="13473153000"/>
    <n v="14063922000"/>
    <m/>
    <m/>
    <m/>
    <n v="62681875000"/>
    <n v="146213680000"/>
    <n v="114904280000"/>
    <n v="46011170000"/>
    <n v="4.68"/>
    <n v="160228260000"/>
    <n v="86381259948.360001"/>
    <s v="Real Estate"/>
    <s v="HK"/>
    <m/>
    <x v="0"/>
    <s v="China"/>
  </r>
  <r>
    <x v="2"/>
    <n v="268032210000"/>
    <n v="63090641324.200005"/>
    <n v="16114378000"/>
    <n v="16903690000"/>
    <m/>
    <m/>
    <m/>
    <n v="84548803000"/>
    <n v="192617050000"/>
    <n v="156623020000"/>
    <n v="62442430000"/>
    <n v="3.1"/>
    <n v="205589780000"/>
    <n v="63090641324.200005"/>
    <s v="Real Estate"/>
    <s v="HK"/>
    <m/>
    <x v="0"/>
    <s v="China"/>
  </r>
  <r>
    <x v="3"/>
    <n v="361956330000"/>
    <n v="71829902906.76001"/>
    <n v="14612030000"/>
    <n v="15276323000"/>
    <m/>
    <m/>
    <m/>
    <n v="113222640000"/>
    <n v="272016100000"/>
    <n v="201594930000"/>
    <n v="89340410000"/>
    <n v="3.18"/>
    <n v="272615920000"/>
    <n v="71829902906.759995"/>
    <s v="Real Estate"/>
    <s v="HK"/>
    <m/>
    <x v="0"/>
    <s v="China"/>
  </r>
  <r>
    <x v="4"/>
    <n v="591571601000"/>
    <n v="93773263673.87999"/>
    <n v="21000741000"/>
    <n v="21777997000"/>
    <m/>
    <m/>
    <n v="85.501709080671276"/>
    <n v="153086977000"/>
    <m/>
    <m/>
    <n v="81615170000"/>
    <n v="4.34"/>
    <n v="509956431000"/>
    <n v="93773263673.87999"/>
    <s v="Real Estate"/>
    <s v="HK"/>
    <m/>
    <x v="0"/>
    <s v="China"/>
  </r>
  <r>
    <x v="5"/>
    <n v="1049669258000"/>
    <n v="317070342851.79999"/>
    <n v="44901996000"/>
    <n v="45726498000"/>
    <m/>
    <m/>
    <n v="45.85549738522942"/>
    <n v="226899786000"/>
    <m/>
    <m/>
    <n v="116611929000"/>
    <n v="14.9"/>
    <n v="933057329000"/>
    <n v="317070342851.79999"/>
    <s v="Real Estate"/>
    <s v="HK"/>
    <m/>
    <x v="0"/>
    <s v="China"/>
  </r>
  <r>
    <x v="6"/>
    <n v="1629694000000"/>
    <n v="206285545467.42999"/>
    <n v="77118000000"/>
    <n v="78162000000"/>
    <m/>
    <m/>
    <n v="32.306694229415903"/>
    <n v="379079000000"/>
    <n v="1399750000000"/>
    <n v="1219406000000"/>
    <n v="173408000000"/>
    <n v="9.5299999999999994"/>
    <n v="1456286000000"/>
    <n v="206285545467.42999"/>
    <s v="Real Estate"/>
    <s v="HK"/>
    <n v="20.155624307385313"/>
    <x v="0"/>
    <s v="China"/>
  </r>
  <r>
    <x v="7"/>
    <n v="1907152000000"/>
    <n v="272621381710.08002"/>
    <n v="96568000000"/>
    <n v="98116000000"/>
    <m/>
    <m/>
    <n v="70.401305683563749"/>
    <n v="485908000000"/>
    <n v="1631517000000"/>
    <n v="1398752000000"/>
    <n v="218608000000"/>
    <n v="12.48"/>
    <n v="1688544000000"/>
    <n v="272621381710.08002"/>
    <s v="Real Estate"/>
    <s v="HK"/>
    <n v="19.413974344991907"/>
    <x v="0"/>
    <s v="China"/>
  </r>
  <r>
    <x v="8"/>
    <n v="2015809000000"/>
    <n v="236219581542.72"/>
    <n v="81427000000"/>
    <n v="83494000000"/>
    <m/>
    <m/>
    <n v="26.481318250820234"/>
    <n v="462856000000"/>
    <n v="1742156000000"/>
    <n v="1492959000000"/>
    <n v="257003000000"/>
    <n v="10.72"/>
    <n v="1758806000000"/>
    <n v="236219581542.72"/>
    <s v="Real Estate"/>
    <s v="HK"/>
    <n v="16.218401644203396"/>
    <x v="0"/>
    <s v="China"/>
  </r>
  <r>
    <x v="9"/>
    <n v="1948365000000"/>
    <n v="160186865346.32001"/>
    <n v="66811000000"/>
    <n v="69198000000"/>
    <m/>
    <m/>
    <n v="-54.029167288835801"/>
    <n v="523064000000"/>
    <n v="1713937000000"/>
    <n v="1378905000000"/>
    <n v="300627000000"/>
    <n v="6.92"/>
    <n v="1647738000000"/>
    <n v="160186865346.32001"/>
    <s v="Real Estate"/>
    <s v="HK"/>
    <n v="16.343344291239063"/>
    <x v="0"/>
    <s v="China"/>
  </r>
  <r>
    <x v="10"/>
    <n v="1744467000000"/>
    <n v="73793038727.399994"/>
    <n v="3589000000"/>
    <n v="5855000000"/>
    <m/>
    <m/>
    <n v="-190.88473286533412"/>
    <n v="430371000000"/>
    <n v="1537082000000"/>
    <n v="1231209000000"/>
    <n v="309573000000"/>
    <n v="2.67"/>
    <n v="1434894000000"/>
    <n v="73793038727.399994"/>
    <s v="Real Estate"/>
    <s v="HK"/>
    <n v="15.570830517286943"/>
    <x v="0"/>
    <s v="China"/>
  </r>
  <r>
    <x v="11"/>
    <n v="1292992000000"/>
    <n v="21831036197.880001"/>
    <n v="-163408000000"/>
    <n v="-161032000000"/>
    <m/>
    <m/>
    <n v="62.904238618524332"/>
    <n v="401015000000"/>
    <n v="1156187000000"/>
    <n v="1126245000000"/>
    <n v="88609000000"/>
    <n v="0.78"/>
    <n v="1204383000000"/>
    <n v="21831036197.880001"/>
    <s v="Real Estate"/>
    <s v="HK"/>
    <n v="19.44103289115478"/>
    <x v="0"/>
    <s v="China"/>
  </r>
  <r>
    <x v="12"/>
    <n v="1035843000000"/>
    <n v="13574426353.809999"/>
    <n v="-17681000000"/>
    <n v="-16072000000"/>
    <m/>
    <m/>
    <n v="433.28929986789956"/>
    <n v="252756000000"/>
    <n v="916885000000"/>
    <n v="942750000000"/>
    <n v="51254000000"/>
    <n v="0.48499999999999999"/>
    <n v="984589000000"/>
    <n v="13574426353.809999"/>
    <s v="Real Estate"/>
    <s v="HK"/>
    <n v="24.696020535930639"/>
    <x v="0"/>
    <s v="China"/>
  </r>
  <r>
    <x v="0"/>
    <n v="176667859000"/>
    <n v="50768994803.68"/>
    <n v="10187552000"/>
    <n v="10576951000"/>
    <m/>
    <m/>
    <m/>
    <n v="28652243000"/>
    <m/>
    <m/>
    <m/>
    <n v="14.62"/>
    <m/>
    <n v="50768994803.680008"/>
    <s v="Real Estate"/>
    <s v="HK"/>
    <m/>
    <x v="1"/>
    <s v="China"/>
  </r>
  <r>
    <x v="1"/>
    <n v="175767858000"/>
    <n v="61881223488.480003"/>
    <n v="13180189000"/>
    <n v="13597511000"/>
    <m/>
    <m/>
    <n v="-868.43168551293797"/>
    <n v="41502660000"/>
    <m/>
    <m/>
    <n v="51851862000"/>
    <n v="17.82"/>
    <n v="123915996000"/>
    <n v="61881223488.480011"/>
    <s v="Real Estate"/>
    <s v="HK"/>
    <m/>
    <x v="1"/>
    <s v="China"/>
  </r>
  <r>
    <x v="2"/>
    <n v="220533457000"/>
    <n v="60214389185.760002"/>
    <n v="15496955000"/>
    <n v="16083804000"/>
    <m/>
    <m/>
    <n v="-340.11492160799827"/>
    <n v="56080546000"/>
    <m/>
    <m/>
    <n v="64983084000"/>
    <n v="17.34"/>
    <n v="155550373000"/>
    <n v="60214389185.76001"/>
    <s v="Real Estate"/>
    <s v="HK"/>
    <m/>
    <x v="1"/>
    <s v="China"/>
  </r>
  <r>
    <x v="3"/>
    <n v="244254691000"/>
    <n v="47852034773.919998"/>
    <n v="13942030000"/>
    <n v="14446059000"/>
    <m/>
    <m/>
    <n v="110.78976571839532"/>
    <n v="57732974000"/>
    <m/>
    <m/>
    <n v="74749320000"/>
    <n v="13.78"/>
    <n v="169505371000"/>
    <n v="47852034773.920006"/>
    <s v="Real Estate"/>
    <s v="HK"/>
    <m/>
    <x v="1"/>
    <s v="China"/>
  </r>
  <r>
    <x v="4"/>
    <n v="261903005000"/>
    <n v="34469728044.959999"/>
    <n v="13508122000"/>
    <n v="14022451000"/>
    <m/>
    <m/>
    <n v="106.21836183198421"/>
    <n v="59286161000"/>
    <n v="189190340000"/>
    <n v="118608923000"/>
    <n v="88216993000"/>
    <n v="10.14"/>
    <n v="173686012000"/>
    <n v="34469728044.960007"/>
    <s v="Real Estate"/>
    <s v="HK"/>
    <n v="25.625873212107663"/>
    <x v="1"/>
    <s v="China"/>
  </r>
  <r>
    <x v="5"/>
    <n v="307558673000"/>
    <n v="57579381888"/>
    <n v="18841808000"/>
    <n v="19507152000"/>
    <m/>
    <m/>
    <n v="124.74399913499087"/>
    <n v="70425874000"/>
    <n v="222531472000"/>
    <n v="135477127000"/>
    <n v="96746797000"/>
    <n v="17"/>
    <n v="210811876000"/>
    <n v="57579381888"/>
    <s v="Real Estate"/>
    <s v="HK"/>
    <n v="28.493832134592413"/>
    <x v="1"/>
    <s v="China"/>
  </r>
  <r>
    <x v="6"/>
    <n v="377596851000"/>
    <n v="69001213397.599991"/>
    <n v="22975232000"/>
    <n v="23639115000"/>
    <m/>
    <m/>
    <n v="14.622676529007581"/>
    <n v="85512704000"/>
    <n v="288848834000"/>
    <n v="187894927000"/>
    <n v="105280177000"/>
    <n v="20.9"/>
    <n v="272316674000"/>
    <n v="69001213397.599991"/>
    <s v="Real Estate"/>
    <s v="HK"/>
    <n v="28.901662106287002"/>
    <x v="1"/>
    <s v="China"/>
  </r>
  <r>
    <x v="7"/>
    <n v="471454067000"/>
    <n v="99705102612.800003"/>
    <n v="29300272000"/>
    <n v="30254961000"/>
    <m/>
    <m/>
    <n v="340.67356536969106"/>
    <n v="111516981000"/>
    <m/>
    <m/>
    <n v="116704186000"/>
    <n v="30.2"/>
    <n v="354749881000"/>
    <n v="99705102612.800003"/>
    <s v="Real Estate"/>
    <s v="HK"/>
    <m/>
    <x v="1"/>
    <s v="China"/>
  </r>
  <r>
    <x v="8"/>
    <n v="589753150000"/>
    <n v="87381127360.800003"/>
    <n v="30276127000"/>
    <n v="31260799000"/>
    <m/>
    <m/>
    <n v="76.907272931654674"/>
    <n v="135352755000"/>
    <m/>
    <m/>
    <n v="152494752000"/>
    <n v="24.7"/>
    <n v="437258398000"/>
    <n v="87381127360.800003"/>
    <s v="Real Estate"/>
    <s v="HK"/>
    <m/>
    <x v="1"/>
    <s v="China"/>
  </r>
  <r>
    <x v="9"/>
    <m/>
    <n v="19368942628.799999"/>
    <n v="-18804040000"/>
    <n v="-17776223000"/>
    <m/>
    <m/>
    <m/>
    <n v="107797269000"/>
    <m/>
    <m/>
    <m/>
    <n v="5.0999999999999996"/>
    <m/>
    <n v="19368942628.799999"/>
    <s v="Real Estate"/>
    <s v="HK"/>
    <m/>
    <x v="1"/>
    <s v="China"/>
  </r>
  <r>
    <x v="10"/>
    <n v="616210939000"/>
    <n v="16786416944.959999"/>
    <n v="-2431679000"/>
    <n v="-1170599000"/>
    <m/>
    <m/>
    <n v="16.660413534082192"/>
    <n v="63040148000"/>
    <n v="485200542000"/>
    <n v="445528456000"/>
    <n v="79505085000"/>
    <n v="4.42"/>
    <n v="536705854000"/>
    <n v="16786416944.959999"/>
    <s v="Real Estate"/>
    <s v="HK"/>
    <n v="44.487273861913707"/>
    <x v="1"/>
    <s v="China"/>
  </r>
  <r>
    <x v="11"/>
    <n v="543250395000"/>
    <n v="2468590727.2000003"/>
    <n v="-14272006000"/>
    <n v="-13178093000"/>
    <m/>
    <m/>
    <n v="79.774966573742617"/>
    <n v="59463712000"/>
    <n v="415429788000"/>
    <n v="412893638000"/>
    <n v="51251030000"/>
    <n v="0.65"/>
    <n v="491999365000"/>
    <n v="2468590727.2000003"/>
    <s v="Real Estate"/>
    <s v="HK"/>
    <n v="48.607591716523281"/>
    <x v="1"/>
    <s v="China"/>
  </r>
  <r>
    <x v="12"/>
    <n v="296428997000"/>
    <n v="3911766844.6399999"/>
    <n v="-29962122000"/>
    <n v="-28928676000"/>
    <m/>
    <m/>
    <m/>
    <n v="59975062000"/>
    <n v="349011726000"/>
    <n v="384234258000"/>
    <n v="3345936000"/>
    <n v="1.03"/>
    <n v="433083061000"/>
    <n v="3911766844.6399999"/>
    <s v="Real Estate"/>
    <s v="HK"/>
    <n v="58.037216303480399"/>
    <x v="1"/>
    <s v="China"/>
  </r>
  <r>
    <x v="0"/>
    <n v="436428997000"/>
    <n v="6480000000"/>
    <n v="1156700000"/>
    <n v="1185388000"/>
    <m/>
    <m/>
    <m/>
    <n v="3893836000"/>
    <m/>
    <m/>
    <m/>
    <n v="2.25"/>
    <m/>
    <n v="6480000000"/>
    <s v="Real Estate"/>
    <s v="HK"/>
    <m/>
    <x v="2"/>
    <s v="China"/>
  </r>
  <r>
    <x v="1"/>
    <n v="27362321000"/>
    <n v="6670079998.0699997"/>
    <n v="2579332000"/>
    <n v="2607614000"/>
    <m/>
    <m/>
    <n v="8.5680321872713971"/>
    <n v="7470608000"/>
    <n v="21847267000"/>
    <n v="11483173000"/>
    <n v="7471905000"/>
    <n v="1.93"/>
    <m/>
    <n v="6670079998.0699997"/>
    <s v="Real Estate"/>
    <s v="HK"/>
    <m/>
    <x v="2"/>
    <s v="China"/>
  </r>
  <r>
    <x v="2"/>
    <n v="39075007000"/>
    <n v="6739199998.0500002"/>
    <n v="2813277000"/>
    <n v="2837363000"/>
    <m/>
    <m/>
    <n v="6.0311342079149375"/>
    <n v="7836633000"/>
    <n v="29559864000"/>
    <n v="17278610000"/>
    <n v="9389799000"/>
    <n v="1.95"/>
    <m/>
    <n v="6739199998.0500002"/>
    <s v="Real Estate"/>
    <s v="HK"/>
    <m/>
    <x v="2"/>
    <s v="China"/>
  </r>
  <r>
    <x v="3"/>
    <n v="52845858000"/>
    <n v="8013599997.9000006"/>
    <n v="3210643000"/>
    <n v="3253298000"/>
    <m/>
    <m/>
    <n v="-28.255440405432587"/>
    <n v="10375501000"/>
    <n v="44738520000"/>
    <n v="25625902000"/>
    <n v="10241355000"/>
    <n v="2.1"/>
    <m/>
    <n v="8013599997.9000006"/>
    <s v="Real Estate"/>
    <s v="HK"/>
    <m/>
    <x v="2"/>
    <s v="China"/>
  </r>
  <r>
    <x v="4"/>
    <n v="68860512000"/>
    <n v="10303199997.300001"/>
    <n v="4358334000"/>
    <n v="4397080000"/>
    <m/>
    <m/>
    <n v="138.46490194550555"/>
    <n v="13671828000"/>
    <m/>
    <m/>
    <n v="11672736000"/>
    <n v="2.7"/>
    <n v="57187776000"/>
    <n v="10303199997.300001"/>
    <s v="Real Estate"/>
    <s v="HK"/>
    <m/>
    <x v="2"/>
    <s v="China"/>
  </r>
  <r>
    <x v="5"/>
    <n v="79904817000"/>
    <n v="17451537399.029999"/>
    <n v="6591502000"/>
    <n v="6674288000"/>
    <m/>
    <m/>
    <n v="-758.59647957288621"/>
    <n v="21700673000"/>
    <m/>
    <m/>
    <n v="17443236000"/>
    <n v="4.17"/>
    <n v="62461581000"/>
    <n v="17451537399.029999"/>
    <s v="Real Estate"/>
    <s v="HK"/>
    <m/>
    <x v="2"/>
    <s v="China"/>
  </r>
  <r>
    <x v="6"/>
    <n v="115063004000"/>
    <n v="15505102512.049999"/>
    <n v="6620768000"/>
    <n v="6697915000"/>
    <m/>
    <m/>
    <n v="27.57733782190574"/>
    <n v="24305871000"/>
    <m/>
    <m/>
    <n v="21430352000"/>
    <n v="3.23"/>
    <n v="93632652000"/>
    <n v="15505102512.049999"/>
    <s v="Real Estate"/>
    <s v="HK"/>
    <m/>
    <x v="2"/>
    <s v="China"/>
  </r>
  <r>
    <x v="7"/>
    <m/>
    <n v="22400452339.98"/>
    <n v="6400621000"/>
    <n v="6483809000"/>
    <m/>
    <m/>
    <m/>
    <n v="23240705000"/>
    <m/>
    <m/>
    <m/>
    <n v="4.29"/>
    <m/>
    <n v="22400452339.98"/>
    <s v="Real Estate"/>
    <s v="HK"/>
    <m/>
    <x v="2"/>
    <s v="China"/>
  </r>
  <r>
    <x v="8"/>
    <n v="178198057000"/>
    <n v="15942366322.4"/>
    <n v="-269223000"/>
    <n v="-195202000"/>
    <m/>
    <m/>
    <n v="133.93085955486467"/>
    <n v="10411604000"/>
    <m/>
    <m/>
    <n v="34302930000"/>
    <n v="2.8"/>
    <n v="143895127000"/>
    <n v="15942366322.4"/>
    <s v="Real Estate"/>
    <s v="HK"/>
    <m/>
    <x v="2"/>
    <s v="China"/>
  </r>
  <r>
    <x v="9"/>
    <m/>
    <n v="4188102080"/>
    <n v="3203879000"/>
    <n v="3272959000"/>
    <m/>
    <m/>
    <m/>
    <n v="27071241000"/>
    <m/>
    <m/>
    <m/>
    <n v="0.64"/>
    <m/>
    <n v="4188102080"/>
    <s v="Real Estate"/>
    <s v="HK"/>
    <m/>
    <x v="2"/>
    <s v="China"/>
  </r>
  <r>
    <x v="10"/>
    <m/>
    <n v="2912039727.5"/>
    <n v="-12671981000"/>
    <n v="-12614792000"/>
    <m/>
    <m/>
    <m/>
    <n v="26737240000"/>
    <m/>
    <m/>
    <m/>
    <n v="0.44500000000000001"/>
    <m/>
    <n v="2912039727.5"/>
    <s v="Real Estate"/>
    <s v="HK"/>
    <m/>
    <x v="2"/>
    <s v="China"/>
  </r>
  <r>
    <x v="11"/>
    <m/>
    <n v="674022678.5"/>
    <n v="-10436078000"/>
    <n v="-10377727000"/>
    <m/>
    <m/>
    <m/>
    <n v="21477083000"/>
    <m/>
    <m/>
    <m/>
    <n v="0.10299999999999999"/>
    <m/>
    <n v="674022678.5"/>
    <s v="Real Estate"/>
    <s v="HK"/>
    <m/>
    <x v="2"/>
    <s v="China"/>
  </r>
  <r>
    <x v="12"/>
    <m/>
    <n v="484249303"/>
    <n v="-10695897000"/>
    <n v="-10632539000"/>
    <m/>
    <m/>
    <m/>
    <n v="9716264000"/>
    <m/>
    <m/>
    <m/>
    <n v="7.3999999999999996E-2"/>
    <m/>
    <n v="484249303"/>
    <s v="Real Estate"/>
    <s v="HK"/>
    <m/>
    <x v="2"/>
    <s v="China"/>
  </r>
  <r>
    <x v="0"/>
    <n v="128304177469.67"/>
    <n v="41568538737.599998"/>
    <n v="11395191000"/>
    <n v="11703159000"/>
    <m/>
    <m/>
    <n v="-89.005532661885326"/>
    <n v="30365056000"/>
    <n v="70746152050.660004"/>
    <n v="40555585957.550003"/>
    <n v="26759470830.25"/>
    <n v="12.9"/>
    <n v="71111788281.479996"/>
    <n v="41568538737.599998"/>
    <s v="Real Estate"/>
    <s v="HK"/>
    <n v="36.256310864521346"/>
    <x v="3"/>
    <s v="China"/>
  </r>
  <r>
    <x v="1"/>
    <n v="139404177469.67001"/>
    <n v="36541645680.959999"/>
    <n v="14741916000"/>
    <n v="15074142000"/>
    <m/>
    <m/>
    <n v="-61.006918820388655"/>
    <n v="36271284000"/>
    <n v="107603541154.42"/>
    <n v="59922862747.5"/>
    <n v="33417908738.720001"/>
    <n v="11.34"/>
    <n v="105986268730.95"/>
    <n v="36541645680.959999"/>
    <s v="Real Estate"/>
    <s v="HK"/>
    <n v="44.004410374880294"/>
    <x v="3"/>
    <s v="China"/>
  </r>
  <r>
    <x v="2"/>
    <n v="171783929393"/>
    <n v="30580266094.560001"/>
    <n v="10859002000"/>
    <n v="11331705000"/>
    <m/>
    <m/>
    <n v="385.39588430242799"/>
    <n v="34705410000"/>
    <n v="135475154421.7"/>
    <n v="70862197887.199997"/>
    <n v="52083117003.230003"/>
    <n v="9.49"/>
    <n v="119700812389.77"/>
    <n v="30580266094.560001"/>
    <s v="Real Estate"/>
    <s v="HK"/>
    <n v="39.351186942382625"/>
    <x v="3"/>
    <s v="China"/>
  </r>
  <r>
    <x v="3"/>
    <n v="183661357055.14001"/>
    <n v="30773608135.200001"/>
    <n v="12389932000"/>
    <n v="12843441000"/>
    <m/>
    <n v="0.90608638854428203"/>
    <n v="596.28455093379091"/>
    <n v="44290924000"/>
    <n v="142372741481.17999"/>
    <n v="80820206530.350006"/>
    <n v="49174318753.529999"/>
    <n v="9.5500000000000007"/>
    <n v="134487038301.61"/>
    <n v="30773608135.200001"/>
    <s v="Real Estate"/>
    <s v="HK"/>
    <n v="44.879499742612396"/>
    <x v="3"/>
    <s v="China"/>
  </r>
  <r>
    <x v="4"/>
    <n v="226367985152.84"/>
    <n v="30225805686.720001"/>
    <n v="12950279000"/>
    <n v="13572237000"/>
    <m/>
    <n v="0.86896563334696164"/>
    <n v="54.950960393019031"/>
    <n v="53730339000"/>
    <n v="178334136502.13"/>
    <n v="87474223752.720001"/>
    <n v="46803577386.330002"/>
    <n v="9.3800000000000008"/>
    <n v="179564407766.51001"/>
    <n v="30225805686.720001"/>
    <s v="Real Estate"/>
    <s v="HK"/>
    <n v="53.289515016795463"/>
    <x v="3"/>
    <s v="China"/>
  </r>
  <r>
    <x v="5"/>
    <n v="298067293647.73999"/>
    <n v="56778112601.280006"/>
    <n v="31121196000"/>
    <n v="31954519000"/>
    <m/>
    <n v="-7.557288079406875E-2"/>
    <n v="32.752913752836832"/>
    <n v="59277855000"/>
    <n v="213637973366.47"/>
    <n v="112665509158.25999"/>
    <n v="64862417275.269997"/>
    <n v="17.62"/>
    <n v="233204876372.47"/>
    <n v="56778112601.280006"/>
    <s v="Real Estate"/>
    <s v="HK"/>
    <n v="47.676840523186158"/>
    <x v="3"/>
    <s v="China"/>
  </r>
  <r>
    <x v="6"/>
    <n v="366152935491.07001"/>
    <n v="38152829352.959999"/>
    <n v="20089891000"/>
    <n v="21924848000"/>
    <m/>
    <n v="1.9629470443470944E-2"/>
    <n v="189.18691399568064"/>
    <n v="76857682000"/>
    <n v="271034643173.56"/>
    <n v="177719160482.17001"/>
    <n v="69829838861.089996"/>
    <n v="11.84"/>
    <n v="296323096629.97998"/>
    <n v="38152829352.959999"/>
    <s v="Real Estate"/>
    <s v="HK"/>
    <n v="44.585909399189156"/>
    <x v="3"/>
    <s v="China"/>
  </r>
  <r>
    <x v="7"/>
    <n v="427286480429.53998"/>
    <n v="50263382406.720001"/>
    <n v="22903326000"/>
    <n v="24908459000"/>
    <m/>
    <n v="-1.0335837997850177"/>
    <n v="-455.64502859732806"/>
    <n v="90813970000"/>
    <n v="323677811844.46997"/>
    <n v="204303102607.26999"/>
    <n v="79769248738.75"/>
    <n v="14.38"/>
    <n v="347517231690.78998"/>
    <n v="50263382406.720001"/>
    <s v="Real Estate"/>
    <s v="HK"/>
    <n v="46.840443746341229"/>
    <x v="3"/>
    <s v="China"/>
  </r>
  <r>
    <x v="8"/>
    <n v="435522444917.87"/>
    <n v="37411102419.68"/>
    <n v="21118780000"/>
    <n v="23148236000"/>
    <m/>
    <n v="4.4618230029724426"/>
    <n v="1393.6560242715318"/>
    <n v="85891778000"/>
    <n v="327738508596.22998"/>
    <n v="242227435033.25"/>
    <n v="86819305115.830002"/>
    <n v="9.9700000000000006"/>
    <n v="348703139802.03998"/>
    <n v="37411102419.68"/>
    <s v="Real Estate"/>
    <s v="HK"/>
    <n v="37.777834387026118"/>
    <x v="3"/>
    <s v="China"/>
  </r>
  <r>
    <x v="9"/>
    <n v="392358416529.16998"/>
    <n v="10881865297.6"/>
    <n v="-9072241000"/>
    <n v="-7154846000"/>
    <m/>
    <n v="-169.04771699629561"/>
    <n v="-150.24509116170574"/>
    <n v="76230335000"/>
    <n v="275160247577.92999"/>
    <n v="237161467397.89001"/>
    <n v="77854321646.910004"/>
    <n v="2.9"/>
    <n v="314504094882.26001"/>
    <n v="10881865297.6"/>
    <s v="Real Estate"/>
    <s v="HK"/>
    <n v="33.339477021802303"/>
    <x v="3"/>
    <s v="China"/>
  </r>
  <r>
    <x v="10"/>
    <n v="363101794082.34998"/>
    <n v="7129497953.5999994"/>
    <n v="-8302070000"/>
    <n v="-6178415000"/>
    <m/>
    <n v="-11.146272929580451"/>
    <n v="-153.50274290736482"/>
    <n v="35192599000"/>
    <n v="251971357589.20999"/>
    <n v="205179311508.57999"/>
    <n v="62173179652.639999"/>
    <n v="1.9"/>
    <n v="300928614429.71002"/>
    <n v="7129497953.5999994"/>
    <s v="Real Estate"/>
    <s v="HK"/>
    <n v="35.490340203770437"/>
    <x v="3"/>
    <s v="China"/>
  </r>
  <r>
    <x v="11"/>
    <n v="329253323652.42999"/>
    <n v="4277698772.1599998"/>
    <n v="-8515254000"/>
    <n v="-6402705000"/>
    <m/>
    <n v="-0.93025740379767963"/>
    <n v="-416.41536782054851"/>
    <n v="36238835000"/>
    <n v="226299435469.34"/>
    <n v="195722066465.38"/>
    <n v="41821127252.660004"/>
    <n v="1.1399999999999999"/>
    <n v="287432196399.77002"/>
    <n v="4277698772.1599998"/>
    <s v="Real Estate"/>
    <s v="HK"/>
    <n v="40.577363445352724"/>
    <x v="3"/>
    <s v="China"/>
  </r>
  <r>
    <x v="12"/>
    <n v="287974768787"/>
    <n v="5103219587.8400002"/>
    <n v="-9366505000"/>
    <n v="-7725373000"/>
    <m/>
    <n v="-3.4659744944576785E-3"/>
    <n v="-1.1964279278288015"/>
    <n v="17701425000"/>
    <n v="212106819725.56"/>
    <n v="243816655583.56"/>
    <n v="26163053406.139999"/>
    <n v="1.36"/>
    <n v="261811715380.85999"/>
    <n v="5103219587.8400002"/>
    <s v="Real Estate"/>
    <s v="HK"/>
    <n v="39.897541892481478"/>
    <x v="3"/>
    <s v="China"/>
  </r>
  <r>
    <x v="0"/>
    <n v="111532306000"/>
    <n v="37599005000"/>
    <n v="10532810000"/>
    <n v="10797141000"/>
    <m/>
    <m/>
    <m/>
    <n v="30074048000"/>
    <m/>
    <m/>
    <m/>
    <n v="10.9"/>
    <m/>
    <n v="37599005000"/>
    <s v="Real Estate"/>
    <s v="HK"/>
    <m/>
    <x v="4"/>
    <s v="China"/>
  </r>
  <r>
    <x v="1"/>
    <n v="114535206000"/>
    <n v="28647478500"/>
    <n v="10683451000"/>
    <n v="10963764000"/>
    <m/>
    <m/>
    <n v="-878.70878232496091"/>
    <n v="35436404000"/>
    <m/>
    <m/>
    <n v="36567296000"/>
    <n v="8.31"/>
    <n v="77967910000"/>
    <n v="28647478500"/>
    <s v="Real Estate"/>
    <s v="HK"/>
    <m/>
    <x v="4"/>
    <s v="China"/>
  </r>
  <r>
    <x v="2"/>
    <n v="123648156000"/>
    <n v="17274179475"/>
    <n v="10249293000"/>
    <n v="10670909000"/>
    <m/>
    <m/>
    <n v="349.6241564440615"/>
    <n v="38317599000"/>
    <m/>
    <m/>
    <n v="41095292000"/>
    <n v="4.41"/>
    <n v="82552864000"/>
    <n v="17274179475"/>
    <s v="Real Estate"/>
    <s v="HK"/>
    <m/>
    <x v="4"/>
    <s v="China"/>
  </r>
  <r>
    <x v="3"/>
    <n v="117312931000"/>
    <n v="16921645200.000002"/>
    <n v="6493457000"/>
    <n v="6929845000"/>
    <m/>
    <m/>
    <n v="465.0996253256161"/>
    <n v="43004312000"/>
    <m/>
    <m/>
    <n v="41994987000"/>
    <n v="4.32"/>
    <n v="75317944000"/>
    <n v="16921645200.000002"/>
    <s v="Real Estate"/>
    <s v="HK"/>
    <m/>
    <x v="4"/>
    <s v="China"/>
  </r>
  <r>
    <x v="4"/>
    <n v="131724898000"/>
    <n v="15472337625"/>
    <n v="7974338000"/>
    <n v="8502491000"/>
    <m/>
    <m/>
    <n v="136.60597746093987"/>
    <n v="46678865000"/>
    <m/>
    <m/>
    <n v="44155230000"/>
    <n v="3.95"/>
    <n v="87569668000"/>
    <n v="15472337625"/>
    <s v="Real Estate"/>
    <s v="HK"/>
    <m/>
    <x v="4"/>
    <s v="China"/>
  </r>
  <r>
    <x v="5"/>
    <n v="163357666000"/>
    <n v="46456183350"/>
    <n v="16698318000"/>
    <n v="17283157000"/>
    <m/>
    <m/>
    <n v="43.736356066790592"/>
    <n v="51607059000"/>
    <m/>
    <m/>
    <n v="44176230000"/>
    <n v="11.86"/>
    <n v="119181436000"/>
    <n v="46456183350"/>
    <s v="Real Estate"/>
    <s v="HK"/>
    <m/>
    <x v="4"/>
    <s v="China"/>
  </r>
  <r>
    <x v="6"/>
    <n v="230445787000"/>
    <n v="36076007475"/>
    <n v="20095375000"/>
    <n v="20698433000"/>
    <m/>
    <m/>
    <n v="15.776344582361618"/>
    <n v="56144926000"/>
    <m/>
    <m/>
    <n v="54980933000"/>
    <n v="9.2100000000000009"/>
    <n v="175464854000"/>
    <n v="36076007475"/>
    <s v="Real Estate"/>
    <s v="HK"/>
    <m/>
    <x v="4"/>
    <s v="China"/>
  </r>
  <r>
    <x v="7"/>
    <n v="273231825000"/>
    <n v="45907796700"/>
    <n v="17767607000"/>
    <n v="18633973000"/>
    <m/>
    <m/>
    <n v="655.73446845788862"/>
    <n v="60239097000"/>
    <m/>
    <m/>
    <n v="65336476000"/>
    <n v="11.72"/>
    <n v="207895349000"/>
    <n v="45907796700"/>
    <s v="Real Estate"/>
    <s v="HK"/>
    <m/>
    <x v="4"/>
    <s v="China"/>
  </r>
  <r>
    <x v="8"/>
    <n v="313765058000"/>
    <n v="40423930200"/>
    <n v="23547756000"/>
    <n v="24860384000"/>
    <m/>
    <m/>
    <n v="38.801249616358206"/>
    <n v="80245252000"/>
    <m/>
    <m/>
    <n v="76969722000"/>
    <n v="10.32"/>
    <n v="236795336000"/>
    <n v="40423930200"/>
    <s v="Real Estate"/>
    <s v="HK"/>
    <m/>
    <x v="4"/>
    <s v="China"/>
  </r>
  <r>
    <x v="9"/>
    <n v="316559739000"/>
    <n v="16569110925.000002"/>
    <n v="19198802000"/>
    <n v="20504195000"/>
    <m/>
    <m/>
    <n v="-4.8682196062244696"/>
    <n v="73027763000"/>
    <n v="217860802000"/>
    <n v="163444509000"/>
    <n v="89431277000"/>
    <n v="4.2300000000000004"/>
    <n v="227128462000"/>
    <n v="16569110925.000002"/>
    <s v="Real Estate"/>
    <s v="HK"/>
    <n v="27.186141633759686"/>
    <x v="4"/>
    <s v="China"/>
  </r>
  <r>
    <x v="10"/>
    <n v="273382215000"/>
    <n v="10350064725"/>
    <n v="-9978927000"/>
    <n v="-8673209000"/>
    <m/>
    <m/>
    <n v="-87.233453918890049"/>
    <n v="54034327000"/>
    <n v="180113283000"/>
    <n v="152255225000"/>
    <n v="75726863000"/>
    <n v="2.31"/>
    <n v="197655352000"/>
    <n v="10350064725"/>
    <s v="Real Estate"/>
    <s v="HK"/>
    <n v="22.320687174182126"/>
    <x v="4"/>
    <s v="China"/>
  </r>
  <r>
    <x v="11"/>
    <n v="241808152000"/>
    <n v="4289140375"/>
    <n v="-11403944000"/>
    <n v="-10233393000"/>
    <m/>
    <m/>
    <n v="6690.9030406911397"/>
    <n v="43310454000"/>
    <n v="150816986000"/>
    <n v="143161494000"/>
    <n v="62356811000"/>
    <n v="0.85"/>
    <n v="179451341000"/>
    <n v="4289140375"/>
    <s v="Real Estate"/>
    <s v="HK"/>
    <n v="22.539414221237671"/>
    <x v="4"/>
    <s v="China"/>
  </r>
  <r>
    <x v="12"/>
    <m/>
    <n v="3734075150"/>
    <n v="-11861970000"/>
    <n v="-10805134000"/>
    <m/>
    <m/>
    <m/>
    <n v="43345885000"/>
    <m/>
    <m/>
    <m/>
    <n v="0.74"/>
    <m/>
    <n v="3734075150"/>
    <s v="Real Estate"/>
    <s v="HK"/>
    <m/>
    <x v="4"/>
    <s v="China"/>
  </r>
  <r>
    <x v="0"/>
    <n v="22608404500"/>
    <n v="6679221450"/>
    <n v="3424365000"/>
    <n v="3554947000"/>
    <m/>
    <m/>
    <m/>
    <n v="5871763000"/>
    <m/>
    <m/>
    <m/>
    <n v="1.65"/>
    <m/>
    <n v="6679221450"/>
    <s v="Real Estate"/>
    <s v="HK"/>
    <m/>
    <x v="5"/>
    <s v="China"/>
  </r>
  <r>
    <x v="1"/>
    <n v="48502917100"/>
    <n v="6719701580"/>
    <n v="2076770000"/>
    <n v="2207577000"/>
    <m/>
    <m/>
    <n v="-28.536908146178135"/>
    <n v="7256938000"/>
    <n v="25285080700"/>
    <n v="15814461000"/>
    <n v="17646133200"/>
    <n v="1.66"/>
    <n v="30856783900"/>
    <n v="6719701580"/>
    <s v="Real Estate"/>
    <s v="HK"/>
    <n v="33.874578442623196"/>
    <x v="5"/>
    <s v="China"/>
  </r>
  <r>
    <x v="2"/>
    <n v="57153727400"/>
    <n v="4357060270"/>
    <n v="2158934000"/>
    <n v="2315966000"/>
    <m/>
    <m/>
    <n v="-496.1890411512199"/>
    <n v="9662995000"/>
    <n v="28147460300"/>
    <n v="18854410600"/>
    <n v="20609482500"/>
    <n v="1.0900000000000001"/>
    <n v="36544244900"/>
    <n v="4357060270"/>
    <s v="Real Estate"/>
    <s v="HK"/>
    <n v="32.517537080180006"/>
    <x v="5"/>
    <s v="China"/>
  </r>
  <r>
    <x v="3"/>
    <n v="66662214000"/>
    <n v="6555576920"/>
    <n v="3847857000"/>
    <n v="4008880000"/>
    <m/>
    <m/>
    <n v="38.549865402122414"/>
    <n v="11907300000"/>
    <m/>
    <m/>
    <n v="22758529000"/>
    <n v="1.64"/>
    <n v="43903685000"/>
    <n v="6555576920"/>
    <s v="Real Estate"/>
    <s v="HK"/>
    <m/>
    <x v="5"/>
    <s v="China"/>
  </r>
  <r>
    <x v="4"/>
    <n v="79127519000"/>
    <n v="9113850840"/>
    <n v="4707800000"/>
    <n v="4868900000"/>
    <m/>
    <m/>
    <n v="41.226407854643945"/>
    <n v="14295617000"/>
    <n v="36822419000"/>
    <n v="26655654000"/>
    <n v="25940249000"/>
    <n v="2.2799999999999998"/>
    <n v="53187270000"/>
    <n v="9113850840"/>
    <s v="Real Estate"/>
    <s v="HK"/>
    <n v="42.763793718845143"/>
    <x v="5"/>
    <s v="China"/>
  </r>
  <r>
    <x v="5"/>
    <n v="95490748000"/>
    <n v="15149778370"/>
    <n v="6921388000"/>
    <n v="7105752000"/>
    <m/>
    <m/>
    <n v="312.11922722220908"/>
    <n v="15592641000"/>
    <n v="45460670000"/>
    <n v="35502780000"/>
    <n v="29474189000"/>
    <n v="3.79"/>
    <n v="66016559000"/>
    <n v="15149778370"/>
    <s v="Real Estate"/>
    <s v="HK"/>
    <n v="42.156955352365657"/>
    <x v="5"/>
    <s v="China"/>
  </r>
  <r>
    <x v="6"/>
    <n v="132054540000"/>
    <n v="12311693240"/>
    <n v="7216546000"/>
    <n v="7450012000"/>
    <m/>
    <m/>
    <n v="19.935860387067248"/>
    <n v="19593790000"/>
    <n v="76867630000"/>
    <n v="58532995000"/>
    <n v="32804940000"/>
    <n v="3.08"/>
    <n v="99249600000"/>
    <n v="12311693240"/>
    <s v="Real Estate"/>
    <s v="HK"/>
    <n v="70.359870247550745"/>
    <x v="5"/>
    <s v="China"/>
  </r>
  <r>
    <x v="7"/>
    <n v="162496955000"/>
    <n v="21548295600"/>
    <n v="10467308000"/>
    <n v="10740314000"/>
    <m/>
    <m/>
    <n v="50.574219553778768"/>
    <n v="26041632000"/>
    <n v="99618235000"/>
    <n v="76846237000"/>
    <n v="38907028000"/>
    <n v="5.2"/>
    <n v="123589927000"/>
    <n v="21548295600"/>
    <s v="Real Estate"/>
    <s v="HK"/>
    <n v="39.438643019495352"/>
    <x v="5"/>
    <s v="China"/>
  </r>
  <r>
    <x v="8"/>
    <n v="195131513000"/>
    <n v="22161856050"/>
    <n v="14094305000"/>
    <n v="14373811000"/>
    <m/>
    <m/>
    <n v="-235.12032713275607"/>
    <n v="35495300000"/>
    <n v="121488932000"/>
    <n v="89330138000"/>
    <n v="51801166000"/>
    <n v="5.35"/>
    <n v="143330347000"/>
    <n v="22161856050"/>
    <s v="Real Estate"/>
    <s v="HK"/>
    <n v="39.82231562976709"/>
    <x v="5"/>
    <s v="China"/>
  </r>
  <r>
    <x v="9"/>
    <m/>
    <n v="16892844240"/>
    <n v="13007826000"/>
    <n v="13302932000"/>
    <m/>
    <m/>
    <m/>
    <n v="39902461000"/>
    <m/>
    <m/>
    <m/>
    <n v="4.08"/>
    <m/>
    <n v="16892844240"/>
    <s v="Real Estate"/>
    <s v="HK"/>
    <m/>
    <x v="5"/>
    <s v="China"/>
  </r>
  <r>
    <x v="10"/>
    <m/>
    <n v="6500432710"/>
    <n v="4535585000"/>
    <n v="4848684000"/>
    <m/>
    <m/>
    <m/>
    <n v="31377857000"/>
    <m/>
    <m/>
    <m/>
    <n v="1.57"/>
    <m/>
    <n v="6500432710"/>
    <s v="Real Estate"/>
    <s v="HK"/>
    <m/>
    <x v="5"/>
    <s v="China"/>
  </r>
  <r>
    <x v="11"/>
    <m/>
    <n v="3022494190"/>
    <n v="-1000527000"/>
    <n v="-652386000"/>
    <m/>
    <m/>
    <m/>
    <n v="22903847000"/>
    <m/>
    <m/>
    <m/>
    <n v="0.73"/>
    <m/>
    <n v="3022494190"/>
    <s v="Real Estate"/>
    <s v="HK"/>
    <m/>
    <x v="5"/>
    <s v="China"/>
  </r>
  <r>
    <x v="12"/>
    <m/>
    <n v="1842479335"/>
    <n v="-3075053000"/>
    <n v="-2712601000"/>
    <m/>
    <m/>
    <m/>
    <n v="25757351000"/>
    <m/>
    <m/>
    <m/>
    <n v="0.44500000000000001"/>
    <m/>
    <n v="1842479335"/>
    <s v="Real Estate"/>
    <s v="HK"/>
    <m/>
    <x v="5"/>
    <s v="China"/>
  </r>
  <r>
    <x v="0"/>
    <n v="32710619895"/>
    <n v="8308085947.5"/>
    <n v="787979286.03999996"/>
    <n v="804612098.35000002"/>
    <m/>
    <n v="0.17728440012297134"/>
    <n v="42.157933942687578"/>
    <n v="5452346274.71"/>
    <n v="15875367561.93"/>
    <n v="9862259817.1499996"/>
    <n v="3879655925.0100002"/>
    <n v="15.5"/>
    <n v="12565688275.85"/>
    <n v="8308085947.5"/>
    <s v="Real Estate"/>
    <s v="CN"/>
    <n v="37.77805232665856"/>
    <x v="6"/>
    <s v="China"/>
  </r>
  <r>
    <x v="1"/>
    <n v="22510619765"/>
    <n v="9699057605.1499996"/>
    <n v="897777736.09000003"/>
    <n v="911497534.91999996"/>
    <m/>
    <n v="-9.3151498186995401"/>
    <n v="-332.64732841334637"/>
    <n v="7444185000.75"/>
    <n v="32597223847.16"/>
    <n v="20051763378.52"/>
    <n v="4297704442.9700003"/>
    <n v="9.2899999999999991"/>
    <n v="28412915452.029999"/>
    <n v="9699057605.1499996"/>
    <s v="Real Estate"/>
    <s v="CN"/>
    <n v="37.830503487008279"/>
    <x v="6"/>
    <s v="China"/>
  </r>
  <r>
    <x v="2"/>
    <n v="46229436628.150002"/>
    <n v="17812346856.579998"/>
    <n v="1902642360.29"/>
    <n v="1917345446.6800001"/>
    <m/>
    <n v="-4.1356007360262366"/>
    <n v="-666.05232471777742"/>
    <n v="13894125701.530001"/>
    <n v="45551487595.25"/>
    <n v="31237025856.73"/>
    <n v="7078599189"/>
    <n v="13.87"/>
    <n v="39150837439.150002"/>
    <n v="17812346856.579998"/>
    <s v="Real Estate"/>
    <s v="CN"/>
    <n v="43.827495451723856"/>
    <x v="6"/>
    <s v="China"/>
  </r>
  <r>
    <x v="3"/>
    <n v="70173296581.339996"/>
    <n v="36253439154.449997"/>
    <n v="2359397572.5100002"/>
    <n v="2375807443.3400002"/>
    <m/>
    <n v="-1.9352308002368932"/>
    <n v="-37.948309723237763"/>
    <n v="22379969159.299999"/>
    <n v="67975944661.169998"/>
    <n v="40211446077.18"/>
    <n v="13742102035.110001"/>
    <n v="9.0299999999999994"/>
    <n v="56431194546.230003"/>
    <n v="36253439154.449997"/>
    <s v="Real Estate"/>
    <s v="CN"/>
    <n v="53.073688690055853"/>
    <x v="6"/>
    <s v="China"/>
  </r>
  <r>
    <x v="4"/>
    <n v="120430521732.34"/>
    <n v="22558908364.550003"/>
    <n v="2069210435.97"/>
    <n v="2094281977.8900001"/>
    <m/>
    <n v="-1.5296864044253213"/>
    <n v="-93.870853024226449"/>
    <n v="19598020109.650002"/>
    <n v="114560780211.86"/>
    <n v="52151380136.650002"/>
    <n v="18924358539.259998"/>
    <n v="5.57"/>
    <n v="101506163193.08"/>
    <n v="22558908364.549999"/>
    <s v="Real Estate"/>
    <s v="CN"/>
    <n v="56.440035283868816"/>
    <x v="6"/>
    <s v="China"/>
  </r>
  <r>
    <x v="5"/>
    <n v="213250070291.78"/>
    <n v="31874076989.049999"/>
    <n v="3830813582.4299998"/>
    <n v="3920604286.21"/>
    <m/>
    <n v="3.3414039802560427"/>
    <n v="53.403399704849932"/>
    <n v="33163130244.669998"/>
    <n v="198412962248.14001"/>
    <n v="117096645888.05"/>
    <n v="30569582412.459999"/>
    <n v="7.87"/>
    <n v="182680487879.32001"/>
    <n v="31874076989.049995"/>
    <s v="Real Estate"/>
    <s v="CN"/>
    <n v="53.218133936443792"/>
    <x v="6"/>
    <s v="China"/>
  </r>
  <r>
    <x v="6"/>
    <n v="263396626378.32001"/>
    <n v="21019880504.850002"/>
    <n v="6748431813.0299997"/>
    <n v="6992158010.2600002"/>
    <m/>
    <n v="4.0159870917040763"/>
    <n v="-6579.0523789407644"/>
    <n v="56470090684.379997"/>
    <n v="235375749023.39999"/>
    <n v="156838308246.73001"/>
    <n v="41029804381.93"/>
    <n v="5.19"/>
    <n v="222366821996.39001"/>
    <n v="21019880504.849998"/>
    <s v="Real Estate"/>
    <s v="CN"/>
    <n v="42.754279512597861"/>
    <x v="6"/>
    <s v="China"/>
  </r>
  <r>
    <x v="7"/>
    <n v="307551883939.17999"/>
    <n v="34696970802.5"/>
    <n v="7374247805.9899998"/>
    <n v="7561040260.4700003"/>
    <m/>
    <n v="2.7617979656274279"/>
    <n v="374.10378539794414"/>
    <n v="61049371313.199997"/>
    <n v="272499068919.54001"/>
    <n v="176758015778.57001"/>
    <n v="50898779412.010002"/>
    <n v="8.5"/>
    <n v="256653104527.17001"/>
    <n v="34696970802.5"/>
    <s v="Real Estate"/>
    <s v="CN"/>
    <n v="36.520937044548241"/>
    <x v="6"/>
    <s v="China"/>
  </r>
  <r>
    <x v="8"/>
    <n v="352301853054.58002"/>
    <n v="26970119528"/>
    <n v="9332736269.0300007"/>
    <n v="9536167994.2600002"/>
    <m/>
    <n v="4.0195457594906179"/>
    <n v="501.82079044272456"/>
    <n v="82171244467.279999"/>
    <n v="301487553918.09003"/>
    <n v="218042545456.51999"/>
    <n v="59257255055.849998"/>
    <n v="6.52"/>
    <n v="293044597998.72998"/>
    <n v="26970119528"/>
    <s v="Real Estate"/>
    <s v="CN"/>
    <n v="29.467738653667112"/>
    <x v="6"/>
    <s v="China"/>
  </r>
  <r>
    <x v="9"/>
    <n v="358270770161.59003"/>
    <n v="12503956509"/>
    <n v="-6299256113.6999998"/>
    <n v="-6009128634.5500002"/>
    <m/>
    <n v="-3.0555458015943562"/>
    <n v="-33.918565710209315"/>
    <n v="42526483702.699997"/>
    <n v="305402224291.16998"/>
    <n v="269942380044.91"/>
    <n v="42110509024.860001"/>
    <n v="3.02"/>
    <n v="316160261136.72998"/>
    <n v="12503956509"/>
    <s v="Real Estate"/>
    <s v="CN"/>
    <n v="23.533433502638886"/>
    <x v="6"/>
    <s v="China"/>
  </r>
  <r>
    <x v="10"/>
    <n v="299692701429.04999"/>
    <n v="7783919946"/>
    <n v="-7807154472"/>
    <n v="-7596118473.9399996"/>
    <m/>
    <n v="0.6451413803312237"/>
    <n v="38.404468612898533"/>
    <n v="39918575305.160004"/>
    <n v="250371441503.17001"/>
    <n v="253044756551"/>
    <n v="25055854044.009998"/>
    <n v="1.88"/>
    <n v="274636847385.04001"/>
    <n v="7783919946"/>
    <s v="Real Estate"/>
    <s v="CN"/>
    <n v="25.929230559872941"/>
    <x v="6"/>
    <s v="China"/>
  </r>
  <r>
    <x v="11"/>
    <n v="242714294467.29999"/>
    <m/>
    <n v="-3758724007.7199998"/>
    <n v="-3567708844.75"/>
    <m/>
    <n v="-0.3198067784890658"/>
    <n v="-33.512111470730979"/>
    <n v="47776551800.040001"/>
    <n v="205394599696.32999"/>
    <n v="221894500397.82999"/>
    <n v="9164289388.6800003"/>
    <n v="0.37"/>
    <n v="233550005078.62"/>
    <m/>
    <s v="Real Estate"/>
    <s v="CN"/>
    <n v="30.413583351076689"/>
    <x v="6"/>
    <s v="China"/>
  </r>
  <r>
    <x v="12"/>
    <n v="181629121593.95999"/>
    <m/>
    <n v="-14382333926.58"/>
    <n v="-14198931178.360001"/>
    <m/>
    <n v="-4.661385315180043E-2"/>
    <n v="-19.64230382791995"/>
    <n v="34086664015.360001"/>
    <n v="150407630432.01999"/>
    <n v="189389863857.63"/>
    <n v="-16363232375.35"/>
    <n v="0.37"/>
    <n v="197992353969.31"/>
    <m/>
    <s v="Real Estate"/>
    <s v="CN"/>
    <n v="36.53469292866783"/>
    <x v="6"/>
    <s v="China"/>
  </r>
  <r>
    <x v="0"/>
    <n v="74093810903.270004"/>
    <n v="24896596236.299999"/>
    <n v="2496035144.3000002"/>
    <n v="2541893474.8200002"/>
    <m/>
    <n v="0.11034814566898664"/>
    <n v="12.51361735696967"/>
    <n v="12076941011.040001"/>
    <n v="41923764304.25"/>
    <n v="31948141744.150002"/>
    <n v="4958593773.9099998"/>
    <n v="28.23"/>
    <n v="38234854258.779999"/>
    <n v="24896596236.299999"/>
    <s v="Real Estate"/>
    <s v="CN"/>
    <n v="18.118951731005392"/>
    <x v="7"/>
    <s v="China"/>
  </r>
  <r>
    <x v="1"/>
    <n v="52093900903.540001"/>
    <n v="26761856634.450001"/>
    <n v="3690705175.9099998"/>
    <n v="3756161105.5"/>
    <m/>
    <n v="-1.2577612792045783"/>
    <n v="-76.30024777897809"/>
    <n v="21059753648.07"/>
    <n v="69348380439.369995"/>
    <n v="54415091427.589996"/>
    <n v="9955240336.7900009"/>
    <n v="20.23"/>
    <n v="64138570566.480003"/>
    <n v="26761856634.450005"/>
    <s v="Real Estate"/>
    <s v="CN"/>
    <n v="23.086544380625277"/>
    <x v="7"/>
    <s v="China"/>
  </r>
  <r>
    <x v="2"/>
    <n v="113964189090.03999"/>
    <n v="57677555574"/>
    <n v="5071253543.3599997"/>
    <n v="5196304427.1599998"/>
    <m/>
    <n v="-1.2761713746891903"/>
    <n v="-113.28180263411996"/>
    <n v="26885548491.459999"/>
    <n v="107672285237.03999"/>
    <n v="84783495096.199997"/>
    <n v="17396275759.59"/>
    <n v="43.6"/>
    <n v="96567913330.449997"/>
    <n v="57677555574.000015"/>
    <s v="Real Estate"/>
    <s v="CN"/>
    <n v="26.944086035762993"/>
    <x v="7"/>
    <s v="China"/>
  </r>
  <r>
    <x v="3"/>
    <n v="168623352113.69"/>
    <n v="81277729689.599991"/>
    <n v="6919607137.5600004"/>
    <n v="7234615545.5900002"/>
    <m/>
    <n v="1.4484299673568006"/>
    <n v="35.559507078916383"/>
    <n v="38334689695.099998"/>
    <n v="153765117726.19"/>
    <n v="113839397420.94"/>
    <n v="25630000117.279999"/>
    <n v="30.72"/>
    <n v="142993351996.41"/>
    <n v="81277729689.600006"/>
    <s v="Real Estate"/>
    <s v="CN"/>
    <n v="28.327693551711775"/>
    <x v="7"/>
    <s v="China"/>
  </r>
  <r>
    <x v="4"/>
    <n v="249903328792.85999"/>
    <n v="70623226345.099991"/>
    <n v="9465777114.6499996"/>
    <n v="10257017028.01"/>
    <m/>
    <n v="1.1354369137796498"/>
    <n v="95.905474084592143"/>
    <n v="53820587475.870003"/>
    <n v="223561173130.66"/>
    <n v="159699251161.95999"/>
    <n v="38031705326.800003"/>
    <n v="23.9"/>
    <n v="211871623466.06"/>
    <n v="70623226345.100006"/>
    <s v="Real Estate"/>
    <s v="CN"/>
    <n v="28.1875881016446"/>
    <x v="7"/>
    <s v="China"/>
  </r>
  <r>
    <x v="5"/>
    <n v="375864713853.91998"/>
    <n v="92755777195.509995"/>
    <n v="13747715433.1"/>
    <n v="15228304736.83"/>
    <m/>
    <n v="-1.5436383794365462"/>
    <n v="-77.865640062061473"/>
    <n v="59635420323.190002"/>
    <n v="348486284162.78003"/>
    <n v="228063688975.89001"/>
    <n v="71032553334.960007"/>
    <n v="31.39"/>
    <n v="304832160518.96002"/>
    <n v="92755777195.51001"/>
    <s v="Real Estate"/>
    <s v="CN"/>
    <n v="29.238266146436203"/>
    <x v="7"/>
    <s v="China"/>
  </r>
  <r>
    <x v="6"/>
    <n v="409711834060"/>
    <n v="76432755994.050003"/>
    <n v="18320418233.34"/>
    <n v="20086384460.18"/>
    <m/>
    <n v="-0.51228771218691926"/>
    <n v="39.228563798793395"/>
    <n v="83798590154.690002"/>
    <n v="367960372179.95001"/>
    <n v="242594830995.79001"/>
    <n v="54715932836.669998"/>
    <n v="25.45"/>
    <n v="354995901223.33002"/>
    <n v="76432755994.050003"/>
    <s v="Real Estate"/>
    <s v="CN"/>
    <n v="33.66002239184138"/>
    <x v="7"/>
    <s v="China"/>
  </r>
  <r>
    <x v="7"/>
    <n v="457811946545.47998"/>
    <n v="86481305588.300003"/>
    <n v="24980178343.119999"/>
    <n v="26726539563.630001"/>
    <m/>
    <n v="-1.3923855468785156"/>
    <n v="699.07796159820134"/>
    <n v="105209536217.22"/>
    <n v="418844487143.47998"/>
    <n v="265332164316.34"/>
    <n v="73686210928.679993"/>
    <n v="28.7"/>
    <n v="384125735616.79999"/>
    <n v="86481305588.300003"/>
    <s v="Real Estate"/>
    <s v="CN"/>
    <n v="38.87772027629218"/>
    <x v="7"/>
    <s v="China"/>
  </r>
  <r>
    <x v="8"/>
    <n v="488762358827.09998"/>
    <n v="50604404022.059998"/>
    <n v="15626914351.67"/>
    <n v="17041657314.450001"/>
    <m/>
    <n v="-1.2597304907385456"/>
    <n v="152.38720539397582"/>
    <n v="101208520744.92"/>
    <n v="441094575540.88"/>
    <n v="285589074591.21997"/>
    <n v="91429994507.940002"/>
    <n v="12.93"/>
    <n v="397332364319.15997"/>
    <n v="50604404022.059998"/>
    <s v="Real Estate"/>
    <s v="CN"/>
    <n v="39.88755079431057"/>
    <x v="7"/>
    <s v="China"/>
  </r>
  <r>
    <x v="9"/>
    <n v="440964154092.08002"/>
    <n v="14089393231.200001"/>
    <n v="-27708182204.810001"/>
    <n v="-26042255167.189999"/>
    <m/>
    <n v="0.26944509941585926"/>
    <n v="20.960303108177659"/>
    <n v="43180812902.959999"/>
    <n v="392470413957.64001"/>
    <n v="363986865531.94"/>
    <n v="23826648797.66"/>
    <n v="3.6"/>
    <n v="417137505294.41998"/>
    <n v="14089393231.200001"/>
    <s v="Real Estate"/>
    <s v="CN"/>
    <n v="46.722761298073152"/>
    <x v="7"/>
    <s v="China"/>
  </r>
  <r>
    <x v="10"/>
    <n v="408602667889.17999"/>
    <n v="9823438058.4200001"/>
    <n v="17274742998.419998"/>
    <n v="18455064806.27"/>
    <m/>
    <n v="-2.393601940842827E-2"/>
    <n v="-9.4046405763846934"/>
    <n v="31941735559.380001"/>
    <n v="364036828788.85999"/>
    <n v="237082375948.97"/>
    <n v="24336400772.759998"/>
    <n v="2.5099999999999998"/>
    <n v="384266267116.41998"/>
    <n v="9823438058.4200001"/>
    <s v="Real Estate"/>
    <s v="CN"/>
    <n v="48.8283251043974"/>
    <x v="7"/>
    <s v="China"/>
  </r>
  <r>
    <x v="11"/>
    <n v="351496855879.63"/>
    <n v="6809873395.0799999"/>
    <n v="16574917.02"/>
    <n v="1019618518.83"/>
    <m/>
    <n v="0.32373223617615554"/>
    <n v="28.204255723962646"/>
    <n v="35906571404.029999"/>
    <n v="307629490415.39001"/>
    <n v="155691338361.34"/>
    <n v="21854341987.139999"/>
    <n v="1.74"/>
    <n v="329642513892.48999"/>
    <n v="6809873395.0799999"/>
    <s v="Real Estate"/>
    <s v="CN"/>
    <n v="53.069953782553981"/>
    <x v="7"/>
    <s v="China"/>
  </r>
  <r>
    <x v="12"/>
    <n v="304389031558.94"/>
    <n v="10527907719.98"/>
    <n v="736048962.64999998"/>
    <n v="1680952284.04"/>
    <m/>
    <n v="0.33422223872091378"/>
    <n v="368.10944589022881"/>
    <n v="23765486138.189999"/>
    <n v="263168804631.32001"/>
    <n v="139950229050.34"/>
    <n v="19236965457.91"/>
    <n v="2.69"/>
    <n v="285152066101.03003"/>
    <n v="10527907719.98"/>
    <s v="Real Estate"/>
    <s v="CN"/>
    <n v="52.240642653018639"/>
    <x v="7"/>
    <s v="China"/>
  </r>
  <r>
    <x v="0"/>
    <n v="35695370103.330002"/>
    <n v="8086565044.3500004"/>
    <n v="405407535.30000001"/>
    <n v="417124587.13999999"/>
    <m/>
    <n v="-2.8947794136238132"/>
    <n v="-37.767114139615153"/>
    <n v="2602812874.2800002"/>
    <n v="12919185392.889999"/>
    <n v="5251590954.5500002"/>
    <n v="2374196694.04"/>
    <n v="7.95"/>
    <n v="11266160230.33"/>
    <n v="8086565044.3500004"/>
    <s v="Real Estate"/>
    <s v="CN"/>
    <n v="48.670088237493985"/>
    <x v="8"/>
    <s v="China"/>
  </r>
  <r>
    <x v="1"/>
    <n v="25275370473.23"/>
    <n v="9398724655.3199997"/>
    <n v="938473466.33000004"/>
    <n v="956427457.53999996"/>
    <m/>
    <n v="-17.701294632991406"/>
    <n v="-295.15602760221924"/>
    <n v="6128499563.8100004"/>
    <n v="34486497186.190002"/>
    <n v="16904660206.73"/>
    <n v="5090376338.3299999"/>
    <n v="9.24"/>
    <n v="30604993765"/>
    <n v="9398724655.3199997"/>
    <s v="Real Estate"/>
    <s v="CN"/>
    <n v="59.567850921417929"/>
    <x v="8"/>
    <s v="China"/>
  </r>
  <r>
    <x v="2"/>
    <n v="62395452580.470001"/>
    <n v="16732577984.849998"/>
    <n v="974395877.91999996"/>
    <n v="996079459.86000001"/>
    <m/>
    <n v="-23.282860108382085"/>
    <n v="410.802443919746"/>
    <n v="8372325812.1899996"/>
    <n v="60842610892.32"/>
    <n v="32107623803.16"/>
    <n v="6722300850.5"/>
    <n v="16.45"/>
    <n v="55673151729.970001"/>
    <n v="16732577984.849998"/>
    <s v="Real Estate"/>
    <s v="CN"/>
    <n v="62.495213583522137"/>
    <x v="8"/>
    <s v="China"/>
  </r>
  <r>
    <x v="3"/>
    <n v="84781627859.649994"/>
    <n v="30489042640"/>
    <n v="1934242140.3199999"/>
    <n v="1962097042.8699999"/>
    <m/>
    <n v="-1.6725011212497647"/>
    <n v="-93.846080551889614"/>
    <n v="14813258428.98"/>
    <n v="73862448396.460007"/>
    <n v="33002302081.599998"/>
    <n v="17068290509.25"/>
    <n v="24.5"/>
    <n v="67713337350.400002"/>
    <n v="30489042640"/>
    <s v="Real Estate"/>
    <s v="CN"/>
    <n v="52.604895799996875"/>
    <x v="8"/>
    <s v="China"/>
  </r>
  <r>
    <x v="4"/>
    <n v="123364697642.46001"/>
    <n v="22014333236.800003"/>
    <n v="2645844506.3000002"/>
    <n v="2697120126.5799999"/>
    <m/>
    <n v="-6.6430487356552099"/>
    <n v="-252.41231067475059"/>
    <n v="20727941732.939999"/>
    <n v="107872990149.03"/>
    <n v="43495174568.089996"/>
    <n v="21716142545.900002"/>
    <n v="17.690000000000001"/>
    <n v="101648555096.56"/>
    <n v="22014333236.800003"/>
    <s v="Real Estate"/>
    <s v="CN"/>
    <n v="61.059894140196846"/>
    <x v="8"/>
    <s v="China"/>
  </r>
  <r>
    <x v="5"/>
    <n v="206420889460.53"/>
    <n v="24913903414.399998"/>
    <n v="3742023698.27"/>
    <n v="3851233979.0100002"/>
    <m/>
    <n v="-5.4450361075132161"/>
    <n v="-273.48607067017588"/>
    <n v="24331166371.700001"/>
    <n v="176561371240.79001"/>
    <n v="86907108314.259995"/>
    <n v="25118871410.82"/>
    <n v="20.02"/>
    <n v="181302018049.70999"/>
    <n v="24913903414.399998"/>
    <s v="Real Estate"/>
    <s v="CN"/>
    <n v="65.639904004990768"/>
    <x v="8"/>
    <s v="China"/>
  </r>
  <r>
    <x v="6"/>
    <n v="243136407761.94"/>
    <n v="17447199094.399998"/>
    <n v="5731796664.2600002"/>
    <n v="5857253380.9099998"/>
    <m/>
    <n v="3.0705176810300463"/>
    <n v="-790.77601832994105"/>
    <n v="30984920277.700001"/>
    <n v="205009360315.34"/>
    <n v="128936715470.00999"/>
    <n v="31889182045.82"/>
    <n v="14.02"/>
    <n v="211247225716.12"/>
    <n v="17447199094.399998"/>
    <s v="Real Estate"/>
    <s v="CN"/>
    <n v="56.563264582087804"/>
    <x v="8"/>
    <s v="China"/>
  </r>
  <r>
    <x v="7"/>
    <n v="224308564981.29001"/>
    <n v="15306743856"/>
    <n v="936566776.38999999"/>
    <n v="1112434723.9200001"/>
    <m/>
    <n v="-2111.5704828789553"/>
    <n v="-13328.526493422138"/>
    <n v="23620615287.119999"/>
    <n v="176210120546.47"/>
    <n v="146430329781.07999"/>
    <n v="33753853519.639999"/>
    <n v="6.15"/>
    <n v="190554711461.64999"/>
    <n v="15306743856"/>
    <s v="Real Estate"/>
    <s v="CN"/>
    <n v="43.250990659564096"/>
    <x v="8"/>
    <s v="China"/>
  </r>
  <r>
    <x v="8"/>
    <n v="216832586290.45001"/>
    <n v="8138707708.8000002"/>
    <n v="-3611328571.9699998"/>
    <n v="-3439414915.8000002"/>
    <m/>
    <n v="1.3834074650423782"/>
    <n v="30.345986972817791"/>
    <n v="3614534476.46"/>
    <n v="169020078167.73999"/>
    <n v="131560254010.62"/>
    <n v="20066480455.77"/>
    <n v="3.27"/>
    <n v="196766105834.67999"/>
    <n v="8138707708.8000002"/>
    <s v="Real Estate"/>
    <s v="CN"/>
    <n v="43.618460853268694"/>
    <x v="8"/>
    <s v="China"/>
  </r>
  <r>
    <x v="9"/>
    <n v="219123942629.04001"/>
    <n v="5500472182.3999996"/>
    <n v="-1617920973.9300001"/>
    <n v="-1437122392.4200001"/>
    <m/>
    <n v="-0.38268895535030162"/>
    <n v="-76.106657808331221"/>
    <n v="4911127344.46"/>
    <n v="171663561258.07001"/>
    <n v="144714012824.22"/>
    <n v="14794355122.940001"/>
    <n v="2.21"/>
    <n v="204329587506.10001"/>
    <n v="5500472182.3999996"/>
    <s v="Real Estate"/>
    <s v="CN"/>
    <n v="42.038871700929278"/>
    <x v="8"/>
    <s v="China"/>
  </r>
  <r>
    <x v="10"/>
    <n v="214597822755.32999"/>
    <n v="3384905958.4000001"/>
    <n v="-3206596945.4899998"/>
    <n v="-3036787456.21"/>
    <m/>
    <n v="0.21388459240649618"/>
    <n v="41.895597136439896"/>
    <n v="8802848101.5200005"/>
    <n v="169659344368.54001"/>
    <n v="184699778192.45001"/>
    <n v="8416051851.6000004"/>
    <n v="1.36"/>
    <n v="206181770903.73001"/>
    <n v="3384905958.4000001"/>
    <s v="Real Estate"/>
    <s v="CN"/>
    <n v="40.605603978773701"/>
    <x v="8"/>
    <s v="China"/>
  </r>
  <r>
    <x v="11"/>
    <n v="200228170981.57001"/>
    <m/>
    <n v="-3284164423.8200002"/>
    <n v="-3134658657.3000002"/>
    <m/>
    <n v="-0.20272731075465228"/>
    <n v="-120.55704625882038"/>
    <n v="6395349345.6499996"/>
    <n v="154800931094.79999"/>
    <n v="191095561869.78"/>
    <n v="674716948.48000002"/>
    <n v="0.43"/>
    <n v="199553454033.09"/>
    <m/>
    <s v="Real Estate"/>
    <s v="CN"/>
    <n v="42.513033753854316"/>
    <x v="8"/>
    <s v="China"/>
  </r>
  <r>
    <x v="12"/>
    <n v="164706868360.37"/>
    <m/>
    <n v="-17742620847.529999"/>
    <n v="-17595860065.610001"/>
    <m/>
    <n v="-0.25002535074477283"/>
    <n v="-79187.104278360304"/>
    <n v="8044116627.3800001"/>
    <n v="125292795632.28"/>
    <n v="183500080838.42001"/>
    <n v="-22430689527.029999"/>
    <n v="0.43"/>
    <n v="187137557887.39999"/>
    <m/>
    <s v="Real Estate"/>
    <s v="CN"/>
    <n v="45.494348128222569"/>
    <x v="8"/>
    <s v="China"/>
  </r>
  <r>
    <x v="0"/>
    <n v="103281911000"/>
    <n v="25720058594.667408"/>
    <n v="5195120000"/>
    <n v="7631314000"/>
    <m/>
    <n v="1.5061457665205513"/>
    <n v="252.61501937739615"/>
    <n v="28867585000"/>
    <n v="25686825000"/>
    <n v="35327985000"/>
    <n v="23909229000"/>
    <n v="4.2300000000000004"/>
    <n v="68809915000"/>
    <n v="25765314485.850002"/>
    <s v="Industrials"/>
    <s v="CN"/>
    <n v="55.627001905884718"/>
    <x v="9"/>
    <s v="China"/>
  </r>
  <r>
    <x v="1"/>
    <n v="100289991000"/>
    <n v="24560249049.866829"/>
    <n v="5096427000"/>
    <n v="7836565000"/>
    <m/>
    <n v="1.2439850959872909"/>
    <n v="-405.56710145385148"/>
    <n v="30231362000"/>
    <n v="24445084000"/>
    <n v="39791969000"/>
    <n v="25523834000"/>
    <n v="2"/>
    <n v="77758077000"/>
    <n v="24364363580"/>
    <s v="Industrials"/>
    <s v="CN"/>
    <n v="59.49927378861144"/>
    <x v="9"/>
    <s v="China"/>
  </r>
  <r>
    <x v="2"/>
    <n v="121982041000"/>
    <n v="41640647778.037064"/>
    <n v="6393169000"/>
    <n v="9867003000"/>
    <m/>
    <n v="0.66770102557430711"/>
    <n v="3928.376937318862"/>
    <n v="36043771000"/>
    <n v="28789417000"/>
    <n v="38545999000"/>
    <n v="31724745000"/>
    <n v="3.42"/>
    <n v="90257296000"/>
    <n v="41663061721.799995"/>
    <s v="Industrials"/>
    <s v="CN"/>
    <n v="55.961780472258205"/>
    <x v="9"/>
    <s v="China"/>
  </r>
  <r>
    <x v="3"/>
    <n v="125381227000"/>
    <n v="47638063780.007118"/>
    <n v="6922796000"/>
    <n v="10865069000"/>
    <m/>
    <n v="1.126489166167586"/>
    <n v="-592.82428446182962"/>
    <n v="35225439000"/>
    <n v="23550785000"/>
    <n v="29727817000"/>
    <n v="38564442000"/>
    <n v="3.89"/>
    <n v="86816785000"/>
    <n v="47388687163.099998"/>
    <s v="Industrials"/>
    <s v="CN"/>
    <n v="49.52086965937891"/>
    <x v="9"/>
    <s v="China"/>
  </r>
  <r>
    <x v="4"/>
    <n v="148144017000"/>
    <n v="55144332466.900467"/>
    <n v="6607501000"/>
    <n v="11006016000"/>
    <m/>
    <n v="1.0588491641641227"/>
    <n v="259.67401816162186"/>
    <n v="40678130000"/>
    <n v="29539240000"/>
    <n v="32874668000"/>
    <n v="67876157000"/>
    <n v="3.26"/>
    <n v="80267860000"/>
    <n v="54787952275.799995"/>
    <s v="Industrials"/>
    <s v="CN"/>
    <n v="35.656679270415623"/>
    <x v="9"/>
    <s v="China"/>
  </r>
  <r>
    <x v="5"/>
    <n v="197347888000"/>
    <n v="53743811747.531982"/>
    <n v="8639126000"/>
    <n v="14107276000"/>
    <m/>
    <n v="1.2982332490325208"/>
    <n v="110.79856814849384"/>
    <n v="59903948000"/>
    <n v="43102294000"/>
    <n v="68177587000"/>
    <n v="73957319000"/>
    <n v="3.19"/>
    <n v="123390569000"/>
    <n v="53611523852.699997"/>
    <s v="Industrials"/>
    <s v="CN"/>
    <n v="44.571378944779994"/>
    <x v="9"/>
    <s v="China"/>
  </r>
  <r>
    <x v="6"/>
    <n v="204735164000"/>
    <n v="31765581314.896381"/>
    <n v="-488545000"/>
    <n v="5492812000"/>
    <m/>
    <n v="1.0948562557415809"/>
    <n v="-268.32152228566247"/>
    <n v="67763934000"/>
    <n v="55101233000"/>
    <n v="125663434000"/>
    <n v="68750269000"/>
    <n v="1.88"/>
    <n v="135984895000"/>
    <n v="31595506220.399998"/>
    <s v="Industrials"/>
    <s v="CN"/>
    <n v="50.152848682115007"/>
    <x v="9"/>
    <s v="China"/>
  </r>
  <r>
    <x v="7"/>
    <n v="196534935000"/>
    <n v="29139057528.609642"/>
    <n v="5903479000"/>
    <n v="11522593000"/>
    <m/>
    <n v="1.6550097961435601"/>
    <n v="-60.962102913562731"/>
    <n v="72389410000"/>
    <n v="50232270000"/>
    <n v="120246183000"/>
    <n v="62107157000"/>
    <n v="1.73"/>
    <n v="134427778000"/>
    <n v="29074588170.900002"/>
    <s v="Industrials"/>
    <s v="CN"/>
    <n v="50.353292151341947"/>
    <x v="9"/>
    <s v="China"/>
  </r>
  <r>
    <x v="8"/>
    <n v="164576692000"/>
    <n v="25446579729.614681"/>
    <n v="-63037980000"/>
    <n v="-58260091000"/>
    <m/>
    <n v="1.2984723754792477E-2"/>
    <n v="12.152712656502185"/>
    <n v="29401026000"/>
    <n v="66278917000"/>
    <n v="178867988000"/>
    <n v="-22253907000"/>
    <n v="1.52"/>
    <n v="186830599000"/>
    <n v="25545302901.599998"/>
    <s v="Industrials"/>
    <s v="CN"/>
    <n v="84.907533564959493"/>
    <x v="9"/>
    <s v="China"/>
  </r>
  <r>
    <x v="9"/>
    <n v="143254576000"/>
    <n v="61721519471.341698"/>
    <n v="6782715000"/>
    <n v="19444826000"/>
    <m/>
    <n v="-0.10343805350214653"/>
    <n v="86.777507566070184"/>
    <n v="34002019000"/>
    <n v="29975474000"/>
    <n v="23093299000"/>
    <n v="10966573000"/>
    <n v="1.86"/>
    <n v="132288003000"/>
    <n v="61831597319.880005"/>
    <s v="Industrials"/>
    <s v="CN"/>
    <n v="75.362835180915965"/>
    <x v="9"/>
    <s v="China"/>
  </r>
  <r>
    <x v="10"/>
    <n v="138114275000"/>
    <n v="80437516620.265701"/>
    <n v="-23455993000"/>
    <n v="-13087521000"/>
    <m/>
    <n v="0.24494965960388645"/>
    <n v="-30.624756068077037"/>
    <n v="22864193000"/>
    <n v="22567222000"/>
    <n v="30842306000"/>
    <n v="458849000"/>
    <n v="1.86"/>
    <n v="137655426000"/>
    <n v="80381076515.100006"/>
    <s v="Industrials"/>
    <s v="CN"/>
    <n v="82.245968419991343"/>
    <x v="9"/>
    <s v="China"/>
  </r>
  <r>
    <x v="11"/>
    <n v="134034890000"/>
    <n v="59149343623.618614"/>
    <n v="3311276000"/>
    <n v="13308793000"/>
    <m/>
    <n v="0.93847108995923678"/>
    <n v="-103.68797763600941"/>
    <n v="58641088000"/>
    <n v="27133985000"/>
    <n v="32907619000"/>
    <n v="1577335000"/>
    <n v="1.37"/>
    <n v="132457555000"/>
    <n v="59205416572.950005"/>
    <s v="Industrials"/>
    <s v="CN"/>
    <n v="78.487243881052166"/>
    <x v="9"/>
    <s v="China"/>
  </r>
  <r>
    <x v="12"/>
    <n v="141706873000"/>
    <n v="73698972465.328308"/>
    <n v="2583696000"/>
    <n v="13011530000"/>
    <m/>
    <n v="1.5863018803332463"/>
    <n v="-3161.1521427932357"/>
    <n v="65235900000"/>
    <n v="29683319000"/>
    <n v="36481865000"/>
    <n v="1541310000"/>
    <n v="1.7"/>
    <n v="140165563000"/>
    <n v="73466575309.5"/>
    <s v="Industrials"/>
    <s v="CN"/>
    <n v="73.881484915696362"/>
    <x v="9"/>
    <s v="China"/>
  </r>
  <r>
    <x v="0"/>
    <n v="35695370103.330002"/>
    <n v="8086565044.3500004"/>
    <n v="405407535.30000001"/>
    <n v="417124587.13999999"/>
    <m/>
    <n v="-2.8947794136238132"/>
    <n v="-37.767114139615153"/>
    <n v="2602812874.2800002"/>
    <n v="12919185392.889999"/>
    <n v="5251590954.5500002"/>
    <n v="2374196694.04"/>
    <n v="7.95"/>
    <n v="11266160230.33"/>
    <n v="8086565044.3500004"/>
    <s v="Real Estate"/>
    <s v="CN"/>
    <n v="48.670088237493985"/>
    <x v="8"/>
    <s v="China"/>
  </r>
  <r>
    <x v="1"/>
    <n v="15685370104.200001"/>
    <n v="9398724655.3199997"/>
    <n v="938473466.33000004"/>
    <n v="956427457.53999996"/>
    <m/>
    <n v="-17.701294632991406"/>
    <n v="-295.15602760221924"/>
    <n v="6128499563.8100004"/>
    <n v="34486497186.190002"/>
    <n v="16904660206.73"/>
    <n v="5090376338.3299999"/>
    <n v="9.24"/>
    <n v="30604993765"/>
    <n v="9398724655.3199997"/>
    <s v="Real Estate"/>
    <s v="CN"/>
    <n v="59.567850921417929"/>
    <x v="8"/>
    <s v="China"/>
  </r>
  <r>
    <x v="2"/>
    <n v="62395452580.470001"/>
    <n v="16732577984.849998"/>
    <n v="974395877.91999996"/>
    <n v="996079459.86000001"/>
    <m/>
    <n v="-23.282860108382085"/>
    <n v="410.802443919746"/>
    <n v="8372325812.1899996"/>
    <n v="60842610892.32"/>
    <n v="32107623803.16"/>
    <n v="6722300850.5"/>
    <n v="16.45"/>
    <n v="55673151729.970001"/>
    <n v="16732577984.849998"/>
    <s v="Real Estate"/>
    <s v="CN"/>
    <n v="62.495213583522137"/>
    <x v="8"/>
    <s v="China"/>
  </r>
  <r>
    <x v="3"/>
    <n v="84781627859.649994"/>
    <n v="30489042640"/>
    <n v="1934242140.3199999"/>
    <n v="1962097042.8699999"/>
    <m/>
    <n v="-1.6725011212497647"/>
    <n v="-93.846080551889614"/>
    <n v="14813258428.98"/>
    <n v="73862448396.460007"/>
    <n v="33002302081.599998"/>
    <n v="17068290509.25"/>
    <n v="24.5"/>
    <n v="67713337350.400002"/>
    <n v="30489042640"/>
    <s v="Real Estate"/>
    <s v="CN"/>
    <n v="52.604895799996875"/>
    <x v="8"/>
    <s v="China"/>
  </r>
  <r>
    <x v="4"/>
    <n v="123364697642.46001"/>
    <n v="22014333236.800003"/>
    <n v="2645844506.3000002"/>
    <n v="2697120126.5799999"/>
    <m/>
    <n v="-6.6430487356552099"/>
    <n v="-252.41231067475059"/>
    <n v="20727941732.939999"/>
    <n v="107872990149.03"/>
    <n v="43495174568.089996"/>
    <n v="21716142545.900002"/>
    <n v="17.690000000000001"/>
    <n v="101648555096.56"/>
    <n v="22014333236.800003"/>
    <s v="Real Estate"/>
    <s v="CN"/>
    <n v="61.059894140196846"/>
    <x v="8"/>
    <s v="China"/>
  </r>
  <r>
    <x v="5"/>
    <n v="206420889460.53"/>
    <n v="24913903414.399998"/>
    <n v="3742023698.27"/>
    <n v="3851233979.0100002"/>
    <m/>
    <n v="-5.4450361075132161"/>
    <n v="-273.48607067017588"/>
    <n v="24331166371.700001"/>
    <n v="176561371240.79001"/>
    <n v="86907108314.259995"/>
    <n v="25118871410.82"/>
    <n v="20.02"/>
    <n v="181302018049.70999"/>
    <n v="24913903414.399998"/>
    <s v="Real Estate"/>
    <s v="CN"/>
    <n v="65.639904004990768"/>
    <x v="8"/>
    <s v="China"/>
  </r>
  <r>
    <x v="6"/>
    <n v="243136407761.94"/>
    <n v="17447199094.399998"/>
    <n v="5731796664.2600002"/>
    <n v="5857253380.9099998"/>
    <m/>
    <n v="3.0705176810300463"/>
    <n v="-790.77601832994105"/>
    <n v="30984920277.700001"/>
    <n v="205009360315.34"/>
    <n v="128936715470.00999"/>
    <n v="31889182045.82"/>
    <n v="14.02"/>
    <n v="211247225716.12"/>
    <n v="17447199094.399998"/>
    <s v="Real Estate"/>
    <s v="CN"/>
    <n v="56.563264582087804"/>
    <x v="8"/>
    <s v="China"/>
  </r>
  <r>
    <x v="7"/>
    <n v="224308564981.29001"/>
    <n v="15306743856"/>
    <n v="936566776.38999999"/>
    <n v="1112434723.9200001"/>
    <m/>
    <n v="-2111.5704828789553"/>
    <n v="-13328.526493422138"/>
    <n v="23620615287.119999"/>
    <n v="176210120546.47"/>
    <n v="146430329781.07999"/>
    <n v="33753853519.639999"/>
    <n v="6.15"/>
    <n v="190554711461.64999"/>
    <n v="15306743856"/>
    <s v="Real Estate"/>
    <s v="CN"/>
    <n v="43.250990659564096"/>
    <x v="8"/>
    <s v="China"/>
  </r>
  <r>
    <x v="8"/>
    <n v="216832586290.45001"/>
    <n v="8138707708.8000002"/>
    <n v="-3611328571.9699998"/>
    <n v="-3439414915.8000002"/>
    <m/>
    <n v="1.3834074650423782"/>
    <n v="30.345986972817791"/>
    <n v="3614534476.46"/>
    <n v="169020078167.73999"/>
    <n v="131560254010.62"/>
    <n v="20066480455.77"/>
    <n v="3.27"/>
    <n v="196766105834.67999"/>
    <n v="8138707708.8000002"/>
    <s v="Real Estate"/>
    <s v="CN"/>
    <n v="43.618460853268694"/>
    <x v="8"/>
    <s v="China"/>
  </r>
  <r>
    <x v="9"/>
    <n v="219123942629.04001"/>
    <n v="5500472182.3999996"/>
    <n v="-1617920973.9300001"/>
    <n v="-1437122392.4200001"/>
    <m/>
    <n v="-0.38268895535030162"/>
    <n v="-76.106657808331221"/>
    <n v="4911127344.46"/>
    <n v="171663561258.07001"/>
    <n v="144714012824.22"/>
    <n v="14794355122.940001"/>
    <n v="2.21"/>
    <n v="204329587506.10001"/>
    <n v="5500472182.3999996"/>
    <s v="Real Estate"/>
    <s v="CN"/>
    <n v="42.038871700929278"/>
    <x v="8"/>
    <s v="China"/>
  </r>
  <r>
    <x v="10"/>
    <n v="214597822755.32999"/>
    <n v="3384905958.4000001"/>
    <n v="-3206596945.4899998"/>
    <n v="-3036787456.21"/>
    <m/>
    <n v="0.21388459240649618"/>
    <n v="41.895597136439896"/>
    <n v="8802848101.5200005"/>
    <n v="169659344368.54001"/>
    <n v="184699778192.45001"/>
    <n v="8416051851.6000004"/>
    <n v="1.36"/>
    <n v="206181770903.73001"/>
    <n v="3384905958.4000001"/>
    <s v="Real Estate"/>
    <s v="CN"/>
    <n v="40.605603978773701"/>
    <x v="8"/>
    <s v="China"/>
  </r>
  <r>
    <x v="11"/>
    <n v="200228170981.57001"/>
    <m/>
    <n v="-3284164423.8200002"/>
    <n v="-3134658657.3000002"/>
    <m/>
    <n v="-0.20272731075465228"/>
    <n v="-120.55704625882038"/>
    <n v="6395349345.6499996"/>
    <n v="154800931094.79999"/>
    <n v="191095561869.78"/>
    <n v="674716948.48000002"/>
    <n v="0.43"/>
    <n v="199553454033.09"/>
    <m/>
    <s v="Real Estate"/>
    <s v="CN"/>
    <n v="42.513033753854316"/>
    <x v="8"/>
    <s v="China"/>
  </r>
  <r>
    <x v="12"/>
    <n v="164706868360.37"/>
    <m/>
    <n v="-17742620847.529999"/>
    <n v="-17595860065.610001"/>
    <m/>
    <n v="-0.25002535074477283"/>
    <n v="-79187.104278360304"/>
    <n v="8044116627.3800001"/>
    <n v="125292795632.28"/>
    <n v="183500080838.42001"/>
    <n v="-22430689527.029999"/>
    <n v="0.43"/>
    <n v="187137557887.39999"/>
    <m/>
    <s v="Real Estate"/>
    <s v="CN"/>
    <n v="45.494348128222569"/>
    <x v="8"/>
    <s v="China"/>
  </r>
  <r>
    <x v="0"/>
    <n v="123926332991.27"/>
    <n v="31389990175.439999"/>
    <n v="6496307367.6499996"/>
    <n v="6572718162.6400003"/>
    <m/>
    <n v="1.3190501963130945"/>
    <n v="211.70255804884465"/>
    <n v="32863360359.98"/>
    <n v="97779819872.660004"/>
    <n v="49753667559.139999"/>
    <n v="34555389126.519997"/>
    <n v="7.02"/>
    <n v="72582268561.350006"/>
    <n v="31389990175.439999"/>
    <s v="Real Estate"/>
    <s v="CN"/>
    <n v="28.624854574389484"/>
    <x v="10"/>
    <s v="China"/>
  </r>
  <r>
    <x v="1"/>
    <n v="111936332891.21001"/>
    <n v="29869677260.959999"/>
    <n v="6412153730.5699997"/>
    <n v="6472721864.9499998"/>
    <m/>
    <n v="-0.45311870665553489"/>
    <n v="68.967755035501426"/>
    <n v="34835841295.080002"/>
    <n v="110033553091.64"/>
    <n v="60052524819.230003"/>
    <n v="38035455691.419998"/>
    <n v="6.68"/>
    <n v="85890877299.850006"/>
    <n v="29869677260.959999"/>
    <s v="Real Estate"/>
    <s v="CN"/>
    <n v="28.465015326633598"/>
    <x v="10"/>
    <s v="China"/>
  </r>
  <r>
    <x v="2"/>
    <n v="124667406137.16"/>
    <n v="51247598215.520004"/>
    <n v="7356878992.8100004"/>
    <n v="7412452711.5200005"/>
    <m/>
    <n v="-0.16198489557186294"/>
    <n v="192.60150985824652"/>
    <n v="45636377981.629997"/>
    <n v="107852453163.39"/>
    <n v="55625997984.470001"/>
    <n v="40519470837.690002"/>
    <n v="11.41"/>
    <n v="84147935299.470001"/>
    <n v="51247598215.520004"/>
    <s v="Real Estate"/>
    <s v="CN"/>
    <n v="32.85487077409492"/>
    <x v="10"/>
    <s v="China"/>
  </r>
  <r>
    <x v="3"/>
    <n v="139346146137.67999"/>
    <n v="62094616233.600006"/>
    <n v="6450047977.6800003"/>
    <n v="6508155795.5200005"/>
    <m/>
    <n v="2.2151620179461853"/>
    <n v="-441.36429012458211"/>
    <n v="32733267202.880001"/>
    <n v="117023772293.39999"/>
    <n v="65014579124.019997"/>
    <n v="47616075610.580002"/>
    <n v="13.8"/>
    <n v="91730070527.100006"/>
    <n v="62094616233.600006"/>
    <s v="Real Estate"/>
    <s v="CN"/>
    <n v="27.783710879579971"/>
    <x v="10"/>
    <s v="China"/>
  </r>
  <r>
    <x v="4"/>
    <n v="153634258937.25"/>
    <n v="58496667765.120003"/>
    <n v="11110365516.870001"/>
    <n v="11201082883.040001"/>
    <m/>
    <n v="2.6301556692289814"/>
    <n v="260.20017234566626"/>
    <n v="55329480540.769997"/>
    <n v="124745132420.64999"/>
    <n v="68616172112.169998"/>
    <n v="53103871667.010002"/>
    <n v="12.96"/>
    <n v="100530387270.24001"/>
    <n v="58496667765.120003"/>
    <s v="Real Estate"/>
    <s v="CN"/>
    <n v="23.845217731185119"/>
    <x v="10"/>
    <s v="China"/>
  </r>
  <r>
    <x v="5"/>
    <n v="207942066457.45001"/>
    <n v="57019190514.360001"/>
    <n v="11480379378.540001"/>
    <n v="11621216113.290001"/>
    <m/>
    <n v="-1.5277636539444048"/>
    <n v="-112.22176178556813"/>
    <n v="37332209455.650002"/>
    <n v="169976470851.54999"/>
    <n v="104494064425.87"/>
    <n v="57955964898.279999"/>
    <n v="12.63"/>
    <n v="149986101559.17001"/>
    <n v="57019190514.360001"/>
    <s v="Real Estate"/>
    <s v="CN"/>
    <n v="25.397760596419168"/>
    <x v="10"/>
    <s v="China"/>
  </r>
  <r>
    <x v="6"/>
    <n v="278355032668.17999"/>
    <n v="43430293962.639999"/>
    <n v="14414387286.58"/>
    <n v="14576594875.75"/>
    <m/>
    <n v="-0.21395223671128788"/>
    <n v="-12.794810533409043"/>
    <n v="50311817459.279999"/>
    <n v="227637400534.57001"/>
    <n v="140612930751.01999"/>
    <n v="66477564861.589996"/>
    <n v="9.6199999999999992"/>
    <n v="211877467806.59"/>
    <n v="43430293962.639999"/>
    <s v="Real Estate"/>
    <s v="CN"/>
    <n v="28.715807785905849"/>
    <x v="10"/>
    <s v="China"/>
  </r>
  <r>
    <x v="7"/>
    <n v="334815965123.19"/>
    <n v="65461461794"/>
    <n v="19571737555.169998"/>
    <n v="19767480375.400002"/>
    <m/>
    <n v="0.64825880122079582"/>
    <n v="234.24765174759847"/>
    <n v="63084210229.550003"/>
    <n v="270823222783.26999"/>
    <n v="188330243575.29001"/>
    <n v="82369439527.559998"/>
    <n v="14.5"/>
    <n v="252446525595.63"/>
    <n v="65461461794"/>
    <s v="Real Estate"/>
    <s v="CN"/>
    <n v="27.685167322288422"/>
    <x v="10"/>
    <s v="China"/>
  </r>
  <r>
    <x v="8"/>
    <n v="401629585060.26001"/>
    <n v="60946878222"/>
    <n v="19431250596.889999"/>
    <n v="19957479025.130001"/>
    <m/>
    <n v="0.55260119422481668"/>
    <n v="81.678187443209794"/>
    <n v="83656711003.660004"/>
    <n v="322573153220.23999"/>
    <n v="228994794475.59"/>
    <n v="94037807475.800003"/>
    <n v="13.5"/>
    <n v="307591777584.46002"/>
    <n v="60946878222"/>
    <s v="Real Estate"/>
    <s v="CN"/>
    <n v="27.45513621851476"/>
    <x v="10"/>
    <s v="China"/>
  </r>
  <r>
    <x v="9"/>
    <n v="462809510230.21997"/>
    <n v="58554148928.840004"/>
    <n v="16341344017.299999"/>
    <n v="16871364225.51"/>
    <m/>
    <n v="1.1366154530694423"/>
    <n v="90.469048166885401"/>
    <n v="98934915652.149994"/>
    <n v="365099271203.89001"/>
    <n v="258077909015.14001"/>
    <n v="110206832526.77"/>
    <n v="12.97"/>
    <n v="352602677703.45001"/>
    <n v="58554148928.840004"/>
    <s v="Real Estate"/>
    <s v="CN"/>
    <n v="27.265307464038457"/>
    <x v="10"/>
    <s v="China"/>
  </r>
  <r>
    <x v="10"/>
    <n v="419383217620.79999"/>
    <n v="46184189941.560005"/>
    <n v="13677793747.35"/>
    <n v="14276559477.42"/>
    <m/>
    <n v="1.7663132640483601"/>
    <n v="-194.33958817526005"/>
    <n v="120035398013.77"/>
    <n v="313983914413.69"/>
    <n v="221182894395.14001"/>
    <n v="116256764472.37"/>
    <n v="10.23"/>
    <n v="303126453148.42999"/>
    <n v="46184189941.560005"/>
    <s v="Real Estate"/>
    <s v="CN"/>
    <n v="28.024485946454547"/>
    <x v="10"/>
    <s v="China"/>
  </r>
  <r>
    <x v="11"/>
    <n v="373846800000.65997"/>
    <n v="19683584373.920002"/>
    <n v="7006304300.7200003"/>
    <n v="7597324093.3000002"/>
    <m/>
    <n v="0.31371327040976471"/>
    <n v="-8.5290030460250659"/>
    <n v="98007723764.240005"/>
    <n v="272263533069.70001"/>
    <n v="198715809752.78"/>
    <n v="116900819088.22"/>
    <n v="4.3600000000000003"/>
    <n v="256945980912.44"/>
    <n v="19683584373.920002"/>
    <s v="Real Estate"/>
    <s v="CN"/>
    <n v="25.028704065265455"/>
    <x v="10"/>
    <s v="China"/>
  </r>
  <r>
    <x v="12"/>
    <n v="293906275277.89001"/>
    <n v="19773876045.360001"/>
    <n v="-5110519553.3800001"/>
    <n v="-4537352736.4200001"/>
    <m/>
    <n v="6.6515419661595612"/>
    <n v="-181.52526389853898"/>
    <n v="75269121839.020004"/>
    <n v="199438148862.54999"/>
    <n v="142609720239.87"/>
    <n v="103473532809.89"/>
    <n v="4.38"/>
    <n v="190432742468"/>
    <n v="19773876045.360001"/>
    <s v="Real Estate"/>
    <s v="CN"/>
    <n v="25.408822565388036"/>
    <x v="10"/>
    <s v="China"/>
  </r>
  <r>
    <x v="13"/>
    <n v="14387754000"/>
    <m/>
    <m/>
    <n v="716528000"/>
    <n v="332188000"/>
    <m/>
    <m/>
    <n v="339133000"/>
    <m/>
    <m/>
    <n v="6419802000"/>
    <m/>
    <n v="7218194000"/>
    <m/>
    <s v="Real Estate"/>
    <m/>
    <n v="0.50169011785995232"/>
    <x v="11"/>
    <s v="USA"/>
  </r>
  <r>
    <x v="14"/>
    <n v="14959001000"/>
    <m/>
    <m/>
    <n v="720591000"/>
    <n v="332276000"/>
    <m/>
    <m/>
    <n v="365468000"/>
    <m/>
    <m/>
    <n v="6525405000"/>
    <m/>
    <n v="7627099000"/>
    <m/>
    <s v="Real Estate"/>
    <m/>
    <n v="0.50986686878355048"/>
    <x v="11"/>
    <s v="USA"/>
  </r>
  <r>
    <x v="15"/>
    <n v="17096587000"/>
    <m/>
    <m/>
    <n v="877527000"/>
    <n v="319898000"/>
    <m/>
    <m/>
    <n v="362446000"/>
    <m/>
    <m/>
    <n v="6937374000"/>
    <m/>
    <n v="9096732000"/>
    <m/>
    <s v="Real Estate"/>
    <m/>
    <n v="0.53207882953480712"/>
    <x v="11"/>
    <s v="USA"/>
  </r>
  <r>
    <x v="16"/>
    <n v="19857941000"/>
    <m/>
    <m/>
    <n v="1202240000"/>
    <n v="326818000"/>
    <m/>
    <m/>
    <n v="1662829000"/>
    <m/>
    <m/>
    <n v="7287465000"/>
    <m/>
    <n v="11431902000"/>
    <m/>
    <s v="Real Estate"/>
    <m/>
    <n v="0.5756841557742568"/>
    <x v="11"/>
    <s v="USA"/>
  </r>
  <r>
    <x v="17"/>
    <n v="15857787000"/>
    <m/>
    <m/>
    <n v="1223426000"/>
    <n v="348062000"/>
    <m/>
    <m/>
    <n v="455444000"/>
    <m/>
    <m/>
    <n v="7324475000"/>
    <m/>
    <n v="7330984000"/>
    <m/>
    <s v="Real Estate"/>
    <m/>
    <n v="0.46229552711232658"/>
    <x v="11"/>
    <s v="USA"/>
  </r>
  <r>
    <x v="18"/>
    <n v="13982904000"/>
    <m/>
    <m/>
    <n v="696252000"/>
    <n v="257045000"/>
    <m/>
    <m/>
    <n v="377381000"/>
    <m/>
    <m/>
    <n v="6225093000"/>
    <m/>
    <n v="6629761000"/>
    <m/>
    <s v="Real Estate"/>
    <m/>
    <n v="0.47413334168639082"/>
    <x v="11"/>
    <s v="USA"/>
  </r>
  <r>
    <x v="19"/>
    <n v="12751358000"/>
    <m/>
    <m/>
    <n v="608888000"/>
    <n v="208669000"/>
    <m/>
    <m/>
    <n v="301695000"/>
    <m/>
    <m/>
    <n v="5901521000"/>
    <m/>
    <n v="6115271000"/>
    <m/>
    <s v="Real Estate"/>
    <m/>
    <n v="0.47957801827852381"/>
    <x v="11"/>
    <s v="USA"/>
  </r>
  <r>
    <x v="20"/>
    <n v="12766320000"/>
    <m/>
    <m/>
    <n v="579889000"/>
    <n v="246848000"/>
    <m/>
    <m/>
    <n v="304255000"/>
    <m/>
    <m/>
    <n v="5441315000"/>
    <m/>
    <n v="6555975000"/>
    <m/>
    <s v="Real Estate"/>
    <m/>
    <n v="0.51353679055514823"/>
    <x v="11"/>
    <s v="USA"/>
  </r>
  <r>
    <x v="21"/>
    <n v="11707567000"/>
    <m/>
    <m/>
    <n v="883651000"/>
    <n v="185934000"/>
    <m/>
    <m/>
    <n v="1052744000"/>
    <m/>
    <m/>
    <n v="4909763000"/>
    <m/>
    <n v="6211341000"/>
    <m/>
    <s v="Real Estate"/>
    <m/>
    <n v="0.5305407178109679"/>
    <x v="11"/>
    <s v="USA"/>
  </r>
  <r>
    <x v="22"/>
    <n v="11066629000"/>
    <m/>
    <m/>
    <n v="826044000"/>
    <n v="145197000"/>
    <m/>
    <m/>
    <n v="843991000"/>
    <m/>
    <m/>
    <n v="4764876000"/>
    <m/>
    <n v="5748049000"/>
    <m/>
    <s v="Real Estate"/>
    <m/>
    <n v="0.51940378592252434"/>
    <x v="11"/>
    <s v="USA"/>
  </r>
  <r>
    <x v="23"/>
    <n v="12355794000"/>
    <m/>
    <n v="605567000"/>
    <n v="315242000"/>
    <n v="166493000"/>
    <m/>
    <m/>
    <n v="826739000"/>
    <m/>
    <m/>
    <n v="4585033000"/>
    <m/>
    <n v="7260936000"/>
    <m/>
    <s v="Real Estate"/>
    <m/>
    <n v="0.58765434256997162"/>
    <x v="11"/>
    <s v="USA"/>
  </r>
  <r>
    <x v="24"/>
    <n v="9531181000"/>
    <m/>
    <n v="598694000"/>
    <n v="-71872000"/>
    <n v="228840000"/>
    <m/>
    <m/>
    <n v="913710000"/>
    <m/>
    <m/>
    <n v="3786315000"/>
    <m/>
    <n v="5270704000"/>
    <m/>
    <s v="Real Estate"/>
    <m/>
    <n v="0.55299589840965147"/>
    <x v="11"/>
    <s v="USA"/>
  </r>
  <r>
    <x v="25"/>
    <n v="10470099000"/>
    <m/>
    <n v="730630000"/>
    <n v="433106000"/>
    <n v="196334000"/>
    <m/>
    <m/>
    <n v="886272000"/>
    <m/>
    <m/>
    <n v="3951300000"/>
    <m/>
    <n v="5915143000"/>
    <m/>
    <s v="Real Estate"/>
    <m/>
    <n v="0.56495578504081001"/>
    <x v="11"/>
    <s v="USA"/>
  </r>
  <r>
    <x v="13"/>
    <n v="21965975000"/>
    <m/>
    <n v="677628000"/>
    <m/>
    <m/>
    <m/>
    <m/>
    <m/>
    <m/>
    <m/>
    <n v="6850935000"/>
    <m/>
    <n v="13117679000"/>
    <m/>
    <s v="Real Estate"/>
    <m/>
    <n v="0.59718173220173476"/>
    <x v="12"/>
    <s v="USA"/>
  </r>
  <r>
    <x v="14"/>
    <n v="20097224000"/>
    <m/>
    <n v="874190000"/>
    <m/>
    <m/>
    <m/>
    <m/>
    <m/>
    <m/>
    <m/>
    <n v="6765232000"/>
    <m/>
    <n v="11498860000"/>
    <m/>
    <s v="Real Estate"/>
    <m/>
    <n v="0.57216160799123306"/>
    <x v="12"/>
    <s v="USA"/>
  </r>
  <r>
    <x v="15"/>
    <n v="21248320000"/>
    <m/>
    <n v="815642000"/>
    <m/>
    <m/>
    <m/>
    <m/>
    <m/>
    <m/>
    <m/>
    <n v="6745426000"/>
    <m/>
    <n v="12421158000"/>
    <m/>
    <s v="Real Estate"/>
    <m/>
    <n v="0.58457129787202"/>
    <x v="12"/>
    <s v="USA"/>
  </r>
  <r>
    <x v="16"/>
    <n v="21143293000"/>
    <m/>
    <n v="760248000"/>
    <m/>
    <m/>
    <m/>
    <m/>
    <m/>
    <m/>
    <m/>
    <n v="6697595000"/>
    <m/>
    <n v="12437994000"/>
    <m/>
    <s v="Real Estate"/>
    <m/>
    <n v="0.58827137286514453"/>
    <x v="12"/>
    <s v="USA"/>
  </r>
  <r>
    <x v="17"/>
    <n v="20814847000"/>
    <m/>
    <n v="550791000"/>
    <m/>
    <m/>
    <m/>
    <m/>
    <m/>
    <m/>
    <m/>
    <n v="6898519000"/>
    <m/>
    <n v="11917905000"/>
    <m/>
    <s v="Real Estate"/>
    <m/>
    <n v="0.57256750433957071"/>
    <x v="12"/>
    <s v="USA"/>
  </r>
  <r>
    <x v="18"/>
    <n v="17397934000"/>
    <m/>
    <n v="607366000"/>
    <m/>
    <m/>
    <m/>
    <m/>
    <n v="2084126000"/>
    <m/>
    <m/>
    <n v="4337652000"/>
    <m/>
    <n v="11405296000"/>
    <m/>
    <s v="Real Estate"/>
    <m/>
    <n v="0.65555461930134928"/>
    <x v="12"/>
    <s v="USA"/>
  </r>
  <r>
    <x v="19"/>
    <n v="17180794000"/>
    <m/>
    <n v="582961000"/>
    <m/>
    <m/>
    <m/>
    <m/>
    <n v="536437000"/>
    <m/>
    <m/>
    <n v="4465231000"/>
    <m/>
    <n v="11289349000"/>
    <m/>
    <s v="Real Estate"/>
    <m/>
    <n v="0.65709122640082873"/>
    <x v="12"/>
    <s v="USA"/>
  </r>
  <r>
    <x v="20"/>
    <n v="18287013000"/>
    <m/>
    <m/>
    <m/>
    <m/>
    <m/>
    <m/>
    <n v="534668000"/>
    <m/>
    <m/>
    <n v="6732030000"/>
    <m/>
    <n v="10087120000"/>
    <m/>
    <s v="Real Estate"/>
    <m/>
    <n v="0.55160019845777986"/>
    <x v="12"/>
    <s v="USA"/>
  </r>
  <r>
    <x v="21"/>
    <n v="16221822000"/>
    <m/>
    <m/>
    <m/>
    <m/>
    <m/>
    <m/>
    <n v="1527951000"/>
    <m/>
    <m/>
    <n v="6533198000"/>
    <m/>
    <n v="8667400000"/>
    <m/>
    <s v="Real Estate"/>
    <m/>
    <n v="0.53430496278408179"/>
    <x v="12"/>
    <s v="USA"/>
  </r>
  <r>
    <x v="22"/>
    <n v="17266588000"/>
    <m/>
    <m/>
    <m/>
    <m/>
    <m/>
    <m/>
    <n v="1589210000"/>
    <m/>
    <m/>
    <n v="6236346000"/>
    <m/>
    <n v="10062667000"/>
    <m/>
    <s v="Real Estate"/>
    <m/>
    <n v="0.5827825972334546"/>
    <x v="12"/>
    <s v="USA"/>
  </r>
  <r>
    <x v="23"/>
    <n v="16493375000"/>
    <m/>
    <m/>
    <m/>
    <m/>
    <m/>
    <m/>
    <n v="1799995000"/>
    <m/>
    <m/>
    <n v="5839728000"/>
    <m/>
    <n v="9980263000"/>
    <m/>
    <s v="Real Estate"/>
    <m/>
    <n v="0.60510738402540409"/>
    <x v="12"/>
    <s v="USA"/>
  </r>
  <r>
    <x v="24"/>
    <n v="16187665000"/>
    <m/>
    <m/>
    <m/>
    <m/>
    <m/>
    <m/>
    <n v="1811163000"/>
    <m/>
    <m/>
    <n v="5509064000"/>
    <m/>
    <n v="9843931000"/>
    <m/>
    <s v="Real Estate"/>
    <m/>
    <n v="0.60811309104802946"/>
    <x v="12"/>
    <s v="USA"/>
  </r>
  <r>
    <x v="25"/>
    <n v="15998608000"/>
    <m/>
    <m/>
    <m/>
    <m/>
    <m/>
    <m/>
    <n v="1787686000"/>
    <m/>
    <m/>
    <n v="5158242000"/>
    <m/>
    <n v="9826739000"/>
    <m/>
    <s v="Real Estate"/>
    <m/>
    <n v="0.61422462504237874"/>
    <x v="12"/>
    <s v="USA"/>
  </r>
  <r>
    <x v="13"/>
    <n v="15462321000"/>
    <m/>
    <n v="651681000"/>
    <m/>
    <n v="413564000"/>
    <m/>
    <m/>
    <n v="438722000"/>
    <m/>
    <m/>
    <n v="5097065000"/>
    <m/>
    <n v="9619033000"/>
    <m/>
    <s v="Real Estate"/>
    <m/>
    <n v="0.62209502700144437"/>
    <x v="13"/>
    <s v="USA"/>
  </r>
  <r>
    <x v="14"/>
    <n v="20162251000"/>
    <m/>
    <n v="678120000"/>
    <m/>
    <n v="446880000"/>
    <m/>
    <m/>
    <n v="477826000"/>
    <m/>
    <m/>
    <n v="5741153000"/>
    <m/>
    <n v="12967712000"/>
    <m/>
    <s v="Real Estate"/>
    <m/>
    <n v="0.64316786850833274"/>
    <x v="13"/>
    <s v="USA"/>
  </r>
  <r>
    <x v="15"/>
    <n v="19886767000"/>
    <m/>
    <n v="801822000"/>
    <m/>
    <n v="455743000"/>
    <m/>
    <m/>
    <n v="574694000"/>
    <m/>
    <m/>
    <n v="5697298000"/>
    <m/>
    <n v="11878506000"/>
    <m/>
    <s v="Real Estate"/>
    <m/>
    <n v="0.59730704342239238"/>
    <x v="13"/>
    <s v="USA"/>
  </r>
  <r>
    <x v="16"/>
    <n v="18379456000"/>
    <m/>
    <n v="849365000"/>
    <m/>
    <n v="432196000"/>
    <m/>
    <m/>
    <n v="618476000"/>
    <m/>
    <m/>
    <n v="5709435000"/>
    <m/>
    <n v="10492529000"/>
    <m/>
    <s v="Real Estate"/>
    <m/>
    <n v="0.57088354519306772"/>
    <x v="13"/>
    <s v="USA"/>
  </r>
  <r>
    <x v="17"/>
    <n v="18851643000"/>
    <m/>
    <n v="825784000"/>
    <m/>
    <n v="412849000"/>
    <m/>
    <m/>
    <n v="665985000"/>
    <m/>
    <m/>
    <n v="5786295000"/>
    <m/>
    <n v="10919719000"/>
    <m/>
    <s v="Real Estate"/>
    <m/>
    <n v="0.57924494963118067"/>
    <x v="13"/>
    <s v="USA"/>
  </r>
  <r>
    <x v="18"/>
    <n v="19372233000"/>
    <m/>
    <n v="908110000"/>
    <m/>
    <n v="374481000"/>
    <m/>
    <m/>
    <n v="632228000"/>
    <m/>
    <m/>
    <n v="5813957000"/>
    <m/>
    <n v="11269777000"/>
    <m/>
    <s v="Real Estate"/>
    <m/>
    <n v="0.58174899093976418"/>
    <x v="13"/>
    <s v="USA"/>
  </r>
  <r>
    <x v="19"/>
    <n v="20256477000"/>
    <m/>
    <m/>
    <m/>
    <n v="378168000"/>
    <m/>
    <m/>
    <n v="661151000"/>
    <m/>
    <m/>
    <n v="5883171000"/>
    <m/>
    <n v="12042509000"/>
    <m/>
    <s v="Real Estate"/>
    <m/>
    <n v="0.59450165001544941"/>
    <x v="13"/>
    <s v="USA"/>
  </r>
  <r>
    <x v="20"/>
    <n v="21284905000"/>
    <m/>
    <m/>
    <m/>
    <n v="412717000"/>
    <m/>
    <m/>
    <n v="725767000"/>
    <m/>
    <m/>
    <n v="5684687000"/>
    <m/>
    <n v="13262304000"/>
    <m/>
    <s v="Real Estate"/>
    <m/>
    <n v="0.62308495151845877"/>
    <x v="13"/>
    <s v="USA"/>
  </r>
  <r>
    <x v="21"/>
    <n v="22858190000"/>
    <m/>
    <m/>
    <m/>
    <n v="431717000"/>
    <m/>
    <m/>
    <n v="2765686000"/>
    <m/>
    <m/>
    <n v="5996083000"/>
    <m/>
    <n v="14511681000"/>
    <m/>
    <s v="Real Estate"/>
    <m/>
    <n v="0.63485695936554909"/>
    <x v="13"/>
    <s v="USA"/>
  </r>
  <r>
    <x v="22"/>
    <n v="22365258000"/>
    <m/>
    <m/>
    <m/>
    <n v="423346000"/>
    <m/>
    <m/>
    <n v="2888621000"/>
    <m/>
    <m/>
    <n v="5834020000"/>
    <m/>
    <n v="14322462000"/>
    <m/>
    <s v="Real Estate"/>
    <m/>
    <n v="0.64038885668119727"/>
    <x v="13"/>
    <s v="USA"/>
  </r>
  <r>
    <x v="23"/>
    <n v="24207669000"/>
    <m/>
    <m/>
    <m/>
    <n v="437139000"/>
    <m/>
    <m/>
    <n v="3108581000"/>
    <m/>
    <m/>
    <n v="6132919000"/>
    <m/>
    <n v="15837237000"/>
    <m/>
    <s v="Real Estate"/>
    <m/>
    <n v="0.65422395687911961"/>
    <x v="13"/>
    <s v="USA"/>
  </r>
  <r>
    <x v="24"/>
    <n v="26026149000"/>
    <m/>
    <m/>
    <m/>
    <n v="579572000"/>
    <m/>
    <m/>
    <n v="3273569000"/>
    <m/>
    <m/>
    <n v="5876697000"/>
    <m/>
    <n v="17833785000"/>
    <m/>
    <s v="Real Estate"/>
    <m/>
    <n v="0.68522565516703993"/>
    <x v="13"/>
    <s v="USA"/>
  </r>
  <r>
    <x v="25"/>
    <n v="26084980000"/>
    <m/>
    <m/>
    <m/>
    <n v="645117000"/>
    <m/>
    <m/>
    <n v="3407719000"/>
    <m/>
    <m/>
    <n v="5413306000"/>
    <m/>
    <n v="18137324000"/>
    <m/>
    <s v="Real Estate"/>
    <m/>
    <n v="0.6953167685004934"/>
    <x v="13"/>
    <s v="USA"/>
  </r>
  <r>
    <x v="13"/>
    <n v="7150116000"/>
    <m/>
    <m/>
    <m/>
    <n v="69184000"/>
    <m/>
    <m/>
    <m/>
    <m/>
    <m/>
    <n v="3441851000"/>
    <m/>
    <n v="3647058000"/>
    <m/>
    <s v="Real Estate"/>
    <m/>
    <n v="0.51006976670028847"/>
    <x v="14"/>
    <s v="USA"/>
  </r>
  <r>
    <x v="14"/>
    <n v="7529764000"/>
    <m/>
    <m/>
    <m/>
    <n v="67952000"/>
    <m/>
    <m/>
    <m/>
    <m/>
    <m/>
    <n v="3916789000"/>
    <m/>
    <n v="3550823000"/>
    <m/>
    <s v="Real Estate"/>
    <m/>
    <n v="0.47157161897769972"/>
    <x v="14"/>
    <s v="USA"/>
  </r>
  <r>
    <x v="15"/>
    <n v="8136036000"/>
    <m/>
    <m/>
    <m/>
    <n v="79299000"/>
    <m/>
    <m/>
    <m/>
    <m/>
    <m/>
    <n v="3828439000"/>
    <m/>
    <n v="4226478000"/>
    <m/>
    <s v="Real Estate"/>
    <m/>
    <n v="0.519476315001556"/>
    <x v="14"/>
    <s v="USA"/>
  </r>
  <r>
    <x v="16"/>
    <n v="8911120000"/>
    <m/>
    <m/>
    <m/>
    <n v="105813000"/>
    <m/>
    <m/>
    <m/>
    <m/>
    <m/>
    <n v="3975087000"/>
    <m/>
    <n v="4617156000"/>
    <m/>
    <s v="Real Estate"/>
    <m/>
    <n v="0.51813419637486646"/>
    <x v="14"/>
    <s v="USA"/>
  </r>
  <r>
    <x v="17"/>
    <n v="10354888000"/>
    <m/>
    <m/>
    <m/>
    <n v="106953000"/>
    <m/>
    <m/>
    <m/>
    <m/>
    <m/>
    <n v="4895796000"/>
    <m/>
    <n v="4972610000"/>
    <m/>
    <s v="Real Estate"/>
    <m/>
    <n v="0.48021861752633149"/>
    <x v="14"/>
    <s v="USA"/>
  </r>
  <r>
    <x v="18"/>
    <n v="12103953000"/>
    <m/>
    <m/>
    <m/>
    <n v="128645000"/>
    <m/>
    <m/>
    <m/>
    <m/>
    <m/>
    <n v="5949666000"/>
    <m/>
    <n v="5620784000"/>
    <m/>
    <s v="Real Estate"/>
    <m/>
    <n v="0.46437589438756077"/>
    <x v="14"/>
    <s v="USA"/>
  </r>
  <r>
    <x v="19"/>
    <n v="14464956000"/>
    <m/>
    <m/>
    <m/>
    <n v="157495000"/>
    <m/>
    <m/>
    <m/>
    <m/>
    <m/>
    <n v="7341965000"/>
    <m/>
    <n v="6570242000"/>
    <m/>
    <s v="Real Estate"/>
    <m/>
    <n v="0.45421790429227721"/>
    <x v="14"/>
    <s v="USA"/>
  </r>
  <r>
    <x v="20"/>
    <n v="18390503000"/>
    <m/>
    <m/>
    <m/>
    <n v="173675000"/>
    <m/>
    <m/>
    <m/>
    <m/>
    <m/>
    <n v="8865826000"/>
    <m/>
    <n v="8224025000"/>
    <m/>
    <s v="Real Estate"/>
    <m/>
    <n v="0.44718869299007208"/>
    <x v="14"/>
    <s v="USA"/>
  </r>
  <r>
    <x v="21"/>
    <n v="22827878000"/>
    <m/>
    <m/>
    <m/>
    <n v="171609000"/>
    <m/>
    <m/>
    <m/>
    <m/>
    <m/>
    <n v="11725712000"/>
    <m/>
    <n v="9384100000"/>
    <m/>
    <s v="Real Estate"/>
    <m/>
    <n v="0.41108069703193612"/>
    <x v="14"/>
    <s v="USA"/>
  </r>
  <r>
    <x v="22"/>
    <n v="30219373000"/>
    <m/>
    <m/>
    <m/>
    <n v="142165000"/>
    <m/>
    <m/>
    <m/>
    <m/>
    <m/>
    <n v="16189542000"/>
    <m/>
    <n v="11186123000"/>
    <m/>
    <s v="Real Estate"/>
    <m/>
    <n v="0.37016396733314089"/>
    <x v="14"/>
    <s v="USA"/>
  </r>
  <r>
    <x v="23"/>
    <n v="35523399000"/>
    <m/>
    <m/>
    <m/>
    <n v="94203000"/>
    <m/>
    <m/>
    <m/>
    <m/>
    <m/>
    <n v="18972387000"/>
    <m/>
    <n v="12840152000"/>
    <m/>
    <s v="Real Estate"/>
    <m/>
    <n v="0.36145617709611633"/>
    <x v="14"/>
    <s v="USA"/>
  </r>
  <r>
    <x v="24"/>
    <n v="36771402000"/>
    <m/>
    <m/>
    <m/>
    <n v="74204000"/>
    <m/>
    <m/>
    <m/>
    <m/>
    <m/>
    <n v="18471175000"/>
    <m/>
    <n v="14148409000"/>
    <m/>
    <s v="Real Estate"/>
    <m/>
    <n v="0.38476664555787132"/>
    <x v="14"/>
    <s v="USA"/>
  </r>
  <r>
    <x v="25"/>
    <n v="37527449000"/>
    <m/>
    <m/>
    <m/>
    <n v="185838000"/>
    <m/>
    <m/>
    <m/>
    <m/>
    <m/>
    <n v="17889042000"/>
    <m/>
    <n v="15128988000"/>
    <m/>
    <s v="Real Estate"/>
    <m/>
    <n v="0.40314458891143917"/>
    <x v="14"/>
    <s v="USA"/>
  </r>
  <r>
    <x v="13"/>
    <m/>
    <m/>
    <m/>
    <m/>
    <m/>
    <m/>
    <m/>
    <n v="126243000"/>
    <m/>
    <m/>
    <m/>
    <m/>
    <m/>
    <m/>
    <s v="Real Estate"/>
    <m/>
    <m/>
    <x v="15"/>
    <s v="USA"/>
  </r>
  <r>
    <x v="14"/>
    <m/>
    <m/>
    <m/>
    <m/>
    <m/>
    <m/>
    <m/>
    <n v="120378000"/>
    <m/>
    <m/>
    <m/>
    <m/>
    <m/>
    <m/>
    <s v="Real Estate"/>
    <m/>
    <m/>
    <x v="15"/>
    <s v="USA"/>
  </r>
  <r>
    <x v="15"/>
    <m/>
    <m/>
    <m/>
    <m/>
    <m/>
    <m/>
    <m/>
    <n v="133280000"/>
    <m/>
    <m/>
    <m/>
    <m/>
    <m/>
    <m/>
    <s v="Real Estate"/>
    <m/>
    <m/>
    <x v="15"/>
    <s v="USA"/>
  </r>
  <r>
    <x v="16"/>
    <m/>
    <m/>
    <m/>
    <m/>
    <m/>
    <m/>
    <m/>
    <n v="140399000"/>
    <m/>
    <m/>
    <m/>
    <m/>
    <m/>
    <m/>
    <s v="Real Estate"/>
    <m/>
    <m/>
    <x v="15"/>
    <s v="USA"/>
  </r>
  <r>
    <x v="17"/>
    <m/>
    <m/>
    <m/>
    <m/>
    <m/>
    <m/>
    <m/>
    <n v="149628000"/>
    <m/>
    <m/>
    <m/>
    <m/>
    <m/>
    <m/>
    <s v="Real Estate"/>
    <m/>
    <m/>
    <x v="15"/>
    <s v="USA"/>
  </r>
  <r>
    <x v="18"/>
    <m/>
    <m/>
    <m/>
    <n v="633260000"/>
    <n v="132629000"/>
    <m/>
    <m/>
    <n v="196131000"/>
    <m/>
    <m/>
    <m/>
    <m/>
    <m/>
    <m/>
    <s v="Real Estate"/>
    <m/>
    <m/>
    <x v="15"/>
    <s v="USA"/>
  </r>
  <r>
    <x v="19"/>
    <n v="10944663000"/>
    <m/>
    <m/>
    <n v="561326000"/>
    <n v="148456000"/>
    <m/>
    <m/>
    <n v="276693000"/>
    <m/>
    <m/>
    <n v="6397970000"/>
    <m/>
    <n v="4494495000"/>
    <m/>
    <s v="Real Estate"/>
    <m/>
    <n v="0.41065631714745349"/>
    <x v="15"/>
    <s v="USA"/>
  </r>
  <r>
    <x v="20"/>
    <n v="11132253000"/>
    <m/>
    <m/>
    <n v="617238000"/>
    <n v="151264000"/>
    <m/>
    <m/>
    <n v="286257000"/>
    <m/>
    <m/>
    <n v="6213348000"/>
    <m/>
    <n v="4842292000"/>
    <m/>
    <s v="Real Estate"/>
    <m/>
    <n v="0.43497861573932972"/>
    <x v="15"/>
    <s v="USA"/>
  </r>
  <r>
    <x v="21"/>
    <n v="10936904000"/>
    <m/>
    <m/>
    <n v="478512000"/>
    <n v="156678000"/>
    <m/>
    <m/>
    <n v="283658000"/>
    <m/>
    <m/>
    <n v="5984912000"/>
    <m/>
    <n v="4878757000"/>
    <m/>
    <s v="Real Estate"/>
    <m/>
    <n v="0.44608209050751468"/>
    <x v="15"/>
    <s v="USA"/>
  </r>
  <r>
    <x v="22"/>
    <n v="10792563000"/>
    <m/>
    <m/>
    <n v="810953000"/>
    <n v="145170000"/>
    <m/>
    <m/>
    <n v="1166161000"/>
    <m/>
    <m/>
    <n v="6037371000"/>
    <m/>
    <n v="4682631000"/>
    <m/>
    <s v="Real Estate"/>
    <m/>
    <n v="0.43387571608338082"/>
    <x v="15"/>
    <s v="USA"/>
  </r>
  <r>
    <x v="23"/>
    <n v="10860220000"/>
    <m/>
    <n v="896786000"/>
    <n v="948709000"/>
    <n v="146186000"/>
    <m/>
    <m/>
    <n v="1224022000"/>
    <m/>
    <m/>
    <n v="6096985000"/>
    <m/>
    <n v="4682181000"/>
    <m/>
    <s v="Real Estate"/>
    <m/>
    <n v="0.43113132146494271"/>
    <x v="15"/>
    <s v="USA"/>
  </r>
  <r>
    <x v="24"/>
    <n v="12426913000"/>
    <m/>
    <n v="951288000"/>
    <n v="871983000"/>
    <n v="154249000"/>
    <m/>
    <m/>
    <n v="1322466000"/>
    <m/>
    <m/>
    <n v="7032687000"/>
    <m/>
    <n v="5234978000"/>
    <m/>
    <s v="Real Estate"/>
    <m/>
    <n v="0.42126133819396661"/>
    <x v="15"/>
    <s v="USA"/>
  </r>
  <r>
    <x v="25"/>
    <n v="12391961000"/>
    <m/>
    <n v="1047368000"/>
    <m/>
    <m/>
    <m/>
    <m/>
    <n v="1453904000"/>
    <m/>
    <m/>
    <n v="6724146000"/>
    <m/>
    <n v="5491654000"/>
    <m/>
    <s v="Real Estate"/>
    <m/>
    <n v="0.44316262777134308"/>
    <x v="15"/>
    <s v="USA"/>
  </r>
  <r>
    <x v="13"/>
    <n v="32586606000"/>
    <m/>
    <n v="516721000"/>
    <m/>
    <n v="1127025000"/>
    <m/>
    <m/>
    <n v="1118969000"/>
    <m/>
    <m/>
    <n v="5910603000"/>
    <m/>
    <n v="25515511000"/>
    <m/>
    <s v="Real Estate"/>
    <m/>
    <n v="0.78300609152116052"/>
    <x v="16"/>
    <s v="USA"/>
  </r>
  <r>
    <x v="14"/>
    <n v="33324574000"/>
    <m/>
    <n v="557689000"/>
    <m/>
    <n v="1137139000"/>
    <m/>
    <m/>
    <n v="1215058000"/>
    <m/>
    <m/>
    <n v="5849406000"/>
    <m/>
    <n v="26311457000"/>
    <m/>
    <s v="Real Estate"/>
    <m/>
    <n v="0.78955118826125126"/>
    <x v="16"/>
    <s v="USA"/>
  </r>
  <r>
    <x v="15"/>
    <n v="29532330000"/>
    <m/>
    <n v="560965000"/>
    <m/>
    <n v="992601000"/>
    <m/>
    <m/>
    <n v="1157022000"/>
    <m/>
    <m/>
    <n v="5093177000"/>
    <m/>
    <n v="23555288000"/>
    <m/>
    <s v="Real Estate"/>
    <m/>
    <n v="0.7976102122656763"/>
    <x v="16"/>
    <s v="USA"/>
  </r>
  <r>
    <x v="16"/>
    <n v="30650673000"/>
    <m/>
    <n v="599171000"/>
    <m/>
    <n v="923697000"/>
    <m/>
    <m/>
    <n v="1216235000"/>
    <m/>
    <m/>
    <n v="4471464000"/>
    <m/>
    <n v="25408767000"/>
    <m/>
    <s v="Real Estate"/>
    <m/>
    <n v="0.82897908962716738"/>
    <x v="16"/>
    <s v="USA"/>
  </r>
  <r>
    <x v="17"/>
    <n v="31103578000"/>
    <m/>
    <n v="684901000"/>
    <m/>
    <n v="857554000"/>
    <m/>
    <m/>
    <n v="1336715000"/>
    <m/>
    <m/>
    <n v="4310448000"/>
    <m/>
    <n v="26005904000"/>
    <m/>
    <s v="Real Estate"/>
    <m/>
    <n v="0.83610650838948497"/>
    <x v="16"/>
    <s v="USA"/>
  </r>
  <r>
    <x v="18"/>
    <n v="32257638000"/>
    <m/>
    <n v="676671000"/>
    <m/>
    <n v="809393000"/>
    <m/>
    <m/>
    <n v="1345763000"/>
    <m/>
    <m/>
    <n v="3686168000"/>
    <m/>
    <n v="27828394000"/>
    <m/>
    <s v="Real Estate"/>
    <m/>
    <n v="0.86269162050860637"/>
    <x v="16"/>
    <s v="USA"/>
  </r>
  <r>
    <x v="19"/>
    <n v="30686223000"/>
    <m/>
    <n v="701933000"/>
    <m/>
    <n v="815923000"/>
    <m/>
    <m/>
    <n v="1399814000"/>
    <m/>
    <m/>
    <n v="3296681000"/>
    <m/>
    <n v="26659104000"/>
    <m/>
    <s v="Real Estate"/>
    <m/>
    <n v="0.86876459184957366"/>
    <x v="16"/>
    <s v="USA"/>
  </r>
  <r>
    <x v="20"/>
    <n v="31231630000"/>
    <m/>
    <n v="745021000"/>
    <m/>
    <n v="789353000"/>
    <m/>
    <m/>
    <n v="1452834000"/>
    <m/>
    <m/>
    <n v="2526398000"/>
    <m/>
    <n v="28101319000"/>
    <m/>
    <s v="Real Estate"/>
    <m/>
    <n v="0.89977112946074222"/>
    <x v="16"/>
    <s v="USA"/>
  </r>
  <r>
    <x v="21"/>
    <n v="34786846000"/>
    <m/>
    <n v="654869000"/>
    <m/>
    <n v="784400000"/>
    <m/>
    <m/>
    <n v="1353360000"/>
    <m/>
    <m/>
    <n v="3039472000"/>
    <m/>
    <n v="31128608000"/>
    <m/>
    <s v="Real Estate"/>
    <m/>
    <n v="0.89483846854066618"/>
    <x v="16"/>
    <s v="USA"/>
  </r>
  <r>
    <x v="22"/>
    <n v="33777379000"/>
    <m/>
    <n v="604612000"/>
    <m/>
    <n v="795712000"/>
    <m/>
    <m/>
    <n v="1239951000"/>
    <m/>
    <m/>
    <n v="3361452000"/>
    <m/>
    <n v="29376654000"/>
    <m/>
    <s v="Real Estate"/>
    <m/>
    <n v="0.86971384014135611"/>
    <x v="16"/>
    <s v="USA"/>
  </r>
  <r>
    <x v="23"/>
    <n v="33011274000"/>
    <m/>
    <n v="620391000"/>
    <m/>
    <n v="761253000"/>
    <m/>
    <m/>
    <n v="1295922000"/>
    <m/>
    <m/>
    <n v="3138524000"/>
    <m/>
    <n v="29187383000"/>
    <m/>
    <s v="Real Estate"/>
    <m/>
    <n v="0.8841640889109581"/>
    <x v="16"/>
    <s v="USA"/>
  </r>
  <r>
    <x v="24"/>
    <n v="34283495000"/>
    <m/>
    <n v="662723000"/>
    <m/>
    <n v="854648000"/>
    <m/>
    <m/>
    <n v="1350849000"/>
    <m/>
    <m/>
    <n v="3022834000"/>
    <m/>
    <n v="30595897000"/>
    <m/>
    <s v="Real Estate"/>
    <m/>
    <n v="0.8924380959409185"/>
    <x v="16"/>
    <s v="USA"/>
  </r>
  <r>
    <x v="25"/>
    <n v="32405691000"/>
    <m/>
    <n v="735180000"/>
    <m/>
    <n v="905797000"/>
    <m/>
    <m/>
    <n v="1442590000"/>
    <m/>
    <m/>
    <n v="2941925000"/>
    <m/>
    <n v="28806239000"/>
    <m/>
    <s v="Real Estate"/>
    <m/>
    <n v="0.88892531253229568"/>
    <x v="16"/>
    <s v="USA"/>
  </r>
  <r>
    <x v="13"/>
    <n v="9311209000"/>
    <m/>
    <m/>
    <m/>
    <n v="176778000"/>
    <m/>
    <m/>
    <n v="214729000"/>
    <m/>
    <m/>
    <n v="3077529000"/>
    <m/>
    <n v="5894958000"/>
    <m/>
    <s v="Real Estate"/>
    <m/>
    <n v="0.6331033918366562"/>
    <x v="17"/>
    <s v="USA"/>
  </r>
  <r>
    <x v="14"/>
    <n v="9075250000"/>
    <m/>
    <m/>
    <m/>
    <n v="197247000"/>
    <m/>
    <m/>
    <n v="243307000"/>
    <m/>
    <m/>
    <n v="3358749000"/>
    <m/>
    <n v="5356533000"/>
    <m/>
    <s v="Real Estate"/>
    <m/>
    <n v="0.59023531032202969"/>
    <x v="17"/>
    <s v="USA"/>
  </r>
  <r>
    <x v="15"/>
    <n v="13121778000"/>
    <m/>
    <m/>
    <m/>
    <n v="190689000"/>
    <m/>
    <m/>
    <n v="264511000"/>
    <m/>
    <m/>
    <n v="5640120000"/>
    <m/>
    <n v="7081929000"/>
    <m/>
    <s v="Real Estate"/>
    <m/>
    <n v="0.53970803346924479"/>
    <x v="17"/>
    <s v="USA"/>
  </r>
  <r>
    <x v="16"/>
    <n v="11258576000"/>
    <m/>
    <m/>
    <m/>
    <n v="211943000"/>
    <m/>
    <m/>
    <n v="318335000"/>
    <m/>
    <m/>
    <n v="4715414000"/>
    <m/>
    <n v="6187337000"/>
    <m/>
    <s v="Real Estate"/>
    <m/>
    <n v="0.54956657040819368"/>
    <x v="17"/>
    <s v="USA"/>
  </r>
  <r>
    <x v="17"/>
    <n v="9958148000"/>
    <m/>
    <m/>
    <m/>
    <n v="163675000"/>
    <m/>
    <m/>
    <n v="256000000"/>
    <m/>
    <m/>
    <n v="4105887000"/>
    <m/>
    <n v="5530980000"/>
    <m/>
    <s v="Real Estate"/>
    <m/>
    <n v="0.55542255447498867"/>
    <x v="17"/>
    <s v="USA"/>
  </r>
  <r>
    <x v="18"/>
    <n v="9605862000"/>
    <m/>
    <m/>
    <m/>
    <n v="171776000"/>
    <m/>
    <m/>
    <n v="247045000"/>
    <m/>
    <m/>
    <n v="3681578000"/>
    <m/>
    <n v="5637863000"/>
    <m/>
    <s v="Real Estate"/>
    <m/>
    <n v="0.58691900841382061"/>
    <x v="17"/>
    <s v="USA"/>
  </r>
  <r>
    <x v="19"/>
    <n v="9026808000"/>
    <m/>
    <m/>
    <m/>
    <n v="182962000"/>
    <m/>
    <m/>
    <n v="236734000"/>
    <m/>
    <m/>
    <n v="2950232000"/>
    <m/>
    <n v="5838376000"/>
    <m/>
    <s v="Real Estate"/>
    <m/>
    <n v="0.64678189676793829"/>
    <x v="17"/>
    <s v="USA"/>
  </r>
  <r>
    <x v="20"/>
    <n v="8853571000"/>
    <m/>
    <m/>
    <n v="574330000"/>
    <n v="138254000"/>
    <m/>
    <m/>
    <n v="226522000"/>
    <m/>
    <m/>
    <n v="2632262000"/>
    <m/>
    <n v="6022601000"/>
    <m/>
    <s v="Real Estate"/>
    <m/>
    <n v="0.68024540606270623"/>
    <x v="17"/>
    <s v="USA"/>
  </r>
  <r>
    <x v="21"/>
    <n v="9184005000"/>
    <m/>
    <m/>
    <n v="170958000"/>
    <n v="75550000"/>
    <m/>
    <m/>
    <n v="226952000"/>
    <m/>
    <m/>
    <n v="2257049000"/>
    <m/>
    <n v="6738745000"/>
    <m/>
    <s v="Real Estate"/>
    <m/>
    <n v="0.73374796725393765"/>
    <x v="17"/>
    <s v="USA"/>
  </r>
  <r>
    <x v="22"/>
    <n v="8345655000"/>
    <m/>
    <m/>
    <n v="538293000"/>
    <n v="192679000"/>
    <m/>
    <m/>
    <n v="847437000"/>
    <m/>
    <m/>
    <n v="3046867000"/>
    <m/>
    <n v="5169506000"/>
    <m/>
    <s v="Real Estate"/>
    <m/>
    <n v="0.61942483843389162"/>
    <x v="17"/>
    <s v="USA"/>
  </r>
  <r>
    <x v="23"/>
    <n v="8094139000"/>
    <m/>
    <m/>
    <n v="453968000"/>
    <n v="216851000"/>
    <m/>
    <m/>
    <n v="859164000"/>
    <m/>
    <m/>
    <n v="2865773000"/>
    <m/>
    <n v="5144790000"/>
    <m/>
    <s v="Real Estate"/>
    <m/>
    <n v="0.63561918074300428"/>
    <x v="17"/>
    <s v="USA"/>
  </r>
  <r>
    <x v="24"/>
    <n v="7513512000"/>
    <m/>
    <m/>
    <m/>
    <m/>
    <m/>
    <m/>
    <n v="884068000"/>
    <m/>
    <m/>
    <n v="2447020000"/>
    <m/>
    <n v="4985911000"/>
    <m/>
    <s v="Real Estate"/>
    <m/>
    <n v="0.66359260489635208"/>
    <x v="17"/>
    <s v="USA"/>
  </r>
  <r>
    <x v="25"/>
    <n v="8567039000"/>
    <m/>
    <m/>
    <m/>
    <m/>
    <m/>
    <m/>
    <n v="918204000"/>
    <m/>
    <m/>
    <n v="2756487000"/>
    <m/>
    <n v="5724614000"/>
    <m/>
    <s v="Real Estate"/>
    <m/>
    <n v="0.66821383677604362"/>
    <x v="17"/>
    <s v="USA"/>
  </r>
  <r>
    <x v="13"/>
    <n v="1288656905"/>
    <m/>
    <n v="4473155"/>
    <n v="61592964"/>
    <n v="25660381"/>
    <m/>
    <m/>
    <n v="24833404"/>
    <m/>
    <m/>
    <n v="473086357"/>
    <m/>
    <n v="774365441"/>
    <m/>
    <s v="Real Estate"/>
    <m/>
    <n v="0.60090892928556494"/>
    <x v="18"/>
    <s v="USA"/>
  </r>
  <r>
    <x v="14"/>
    <n v="1763927030"/>
    <m/>
    <n v="8727382"/>
    <n v="79885269"/>
    <n v="27993577"/>
    <m/>
    <m/>
    <n v="31035859"/>
    <m/>
    <m/>
    <n v="753557171"/>
    <m/>
    <n v="962894663"/>
    <m/>
    <s v="Real Estate"/>
    <m/>
    <n v="0.54588123353379303"/>
    <x v="18"/>
    <s v="USA"/>
  </r>
  <r>
    <x v="15"/>
    <n v="3874216000"/>
    <m/>
    <n v="5206000"/>
    <n v="160834000"/>
    <n v="45513000"/>
    <m/>
    <m/>
    <n v="42660000"/>
    <m/>
    <m/>
    <n v="1898784000"/>
    <m/>
    <n v="1846986000"/>
    <m/>
    <s v="Real Estate"/>
    <m/>
    <n v="0.47673800325020599"/>
    <x v="18"/>
    <s v="USA"/>
  </r>
  <r>
    <x v="16"/>
    <n v="3766038000"/>
    <m/>
    <n v="18483000"/>
    <n v="251047000"/>
    <n v="56432000"/>
    <m/>
    <m/>
    <n v="86828000"/>
    <m/>
    <m/>
    <n v="1725976000"/>
    <m/>
    <n v="1946974000"/>
    <m/>
    <s v="Real Estate"/>
    <m/>
    <n v="0.51698203788703145"/>
    <x v="18"/>
    <s v="USA"/>
  </r>
  <r>
    <x v="17"/>
    <n v="3656371000"/>
    <m/>
    <n v="17692000"/>
    <n v="242138000"/>
    <n v="65577000"/>
    <m/>
    <m/>
    <n v="88550000"/>
    <m/>
    <m/>
    <n v="1643574000"/>
    <m/>
    <n v="1923940000"/>
    <m/>
    <s v="Real Estate"/>
    <m/>
    <n v="0.52618839827796471"/>
    <x v="18"/>
    <s v="USA"/>
  </r>
  <r>
    <x v="18"/>
    <n v="3512498000"/>
    <m/>
    <n v="8118000"/>
    <n v="249567000"/>
    <n v="65702000"/>
    <m/>
    <m/>
    <n v="90112000"/>
    <m/>
    <m/>
    <n v="1565411000"/>
    <m/>
    <n v="1874285000"/>
    <m/>
    <s v="Real Estate"/>
    <m/>
    <n v="0.53360457429441954"/>
    <x v="18"/>
    <s v="USA"/>
  </r>
  <r>
    <x v="19"/>
    <n v="3172013000"/>
    <m/>
    <n v="-1532000"/>
    <n v="172154000"/>
    <n v="66785000"/>
    <m/>
    <m/>
    <n v="89763000"/>
    <m/>
    <m/>
    <n v="1412705000"/>
    <m/>
    <n v="1712867000"/>
    <m/>
    <s v="Real Estate"/>
    <m/>
    <n v="0.53999368855045671"/>
    <x v="18"/>
    <s v="USA"/>
  </r>
  <r>
    <x v="20"/>
    <n v="2648887000"/>
    <m/>
    <n v="22976000"/>
    <n v="190550000"/>
    <n v="59268000"/>
    <m/>
    <m/>
    <n v="83515000"/>
    <m/>
    <m/>
    <n v="1289038000"/>
    <m/>
    <n v="1306577000"/>
    <m/>
    <s v="Real Estate"/>
    <m/>
    <n v="0.49325509166680193"/>
    <x v="18"/>
    <s v="USA"/>
  </r>
  <r>
    <x v="21"/>
    <n v="2608539000"/>
    <m/>
    <n v="35011000"/>
    <n v="162128000"/>
    <n v="50399000"/>
    <m/>
    <m/>
    <n v="266645000"/>
    <m/>
    <m/>
    <n v="1230654000"/>
    <m/>
    <n v="1333912000"/>
    <m/>
    <s v="Real Estate"/>
    <m/>
    <n v="0.51136364071995855"/>
    <x v="18"/>
    <s v="USA"/>
  </r>
  <r>
    <x v="22"/>
    <n v="7639575000"/>
    <m/>
    <n v="-21524000"/>
    <n v="179791000"/>
    <n v="60447000"/>
    <m/>
    <m/>
    <n v="373324000"/>
    <m/>
    <m/>
    <n v="3922047000"/>
    <m/>
    <n v="3657209000"/>
    <m/>
    <s v="Real Estate"/>
    <m/>
    <n v="0.47871890779264548"/>
    <x v="18"/>
    <s v="USA"/>
  </r>
  <r>
    <x v="23"/>
    <n v="7341982000"/>
    <m/>
    <n v="91669000"/>
    <n v="561488000"/>
    <n v="104276000"/>
    <m/>
    <m/>
    <n v="801996000"/>
    <m/>
    <m/>
    <n v="3766515000"/>
    <m/>
    <n v="3516130000"/>
    <m/>
    <s v="Real Estate"/>
    <m/>
    <n v="0.47890746667589212"/>
    <x v="18"/>
    <s v="USA"/>
  </r>
  <r>
    <x v="24"/>
    <n v="6944078000"/>
    <m/>
    <n v="152241000"/>
    <n v="583350000"/>
    <n v="105349000"/>
    <m/>
    <m/>
    <n v="823004000"/>
    <m/>
    <m/>
    <n v="3568138000"/>
    <m/>
    <n v="3300223000"/>
    <m/>
    <s v="Real Estate"/>
    <m/>
    <n v="0.4752571903714215"/>
    <x v="18"/>
    <s v="USA"/>
  </r>
  <r>
    <x v="25"/>
    <n v="7091767000"/>
    <m/>
    <n v="111390000"/>
    <m/>
    <m/>
    <m/>
    <m/>
    <n v="841842000"/>
    <m/>
    <m/>
    <n v="3312110000"/>
    <m/>
    <n v="3679690000"/>
    <m/>
    <s v="Real Estate"/>
    <m/>
    <n v="0.51886786466616852"/>
    <x v="18"/>
    <s v="USA"/>
  </r>
  <r>
    <x v="13"/>
    <n v="18980000000"/>
    <m/>
    <m/>
    <m/>
    <n v="293401000"/>
    <m/>
    <m/>
    <n v="568566000"/>
    <m/>
    <m/>
    <n v="9019128000"/>
    <m/>
    <n v="9716082000"/>
    <m/>
    <s v="Real Estate"/>
    <m/>
    <n v="0.51191159114857743"/>
    <x v="19"/>
    <s v="USA"/>
  </r>
  <r>
    <x v="14"/>
    <n v="19731494000"/>
    <m/>
    <m/>
    <m/>
    <n v="334484000"/>
    <m/>
    <m/>
    <n v="682509000"/>
    <m/>
    <m/>
    <n v="8824281000"/>
    <m/>
    <n v="10671023000"/>
    <m/>
    <s v="Real Estate"/>
    <m/>
    <n v="0.54081170944278223"/>
    <x v="19"/>
    <s v="USA"/>
  </r>
  <r>
    <x v="15"/>
    <n v="21226171000"/>
    <m/>
    <m/>
    <m/>
    <n v="376842000"/>
    <m/>
    <m/>
    <n v="741470000"/>
    <m/>
    <m/>
    <n v="8680184000"/>
    <m/>
    <n v="12299758000"/>
    <m/>
    <s v="Real Estate"/>
    <m/>
    <n v="0.57946192933242646"/>
    <x v="19"/>
    <s v="USA"/>
  </r>
  <r>
    <x v="16"/>
    <n v="22261918000"/>
    <m/>
    <m/>
    <m/>
    <n v="367114000"/>
    <m/>
    <m/>
    <n v="805598000"/>
    <m/>
    <m/>
    <n v="9564327000"/>
    <m/>
    <n v="12439962000"/>
    <m/>
    <s v="Real Estate"/>
    <m/>
    <n v="0.55880009979373746"/>
    <x v="19"/>
    <s v="USA"/>
  </r>
  <r>
    <x v="17"/>
    <n v="23166600000"/>
    <m/>
    <m/>
    <m/>
    <n v="419740000"/>
    <m/>
    <m/>
    <n v="852289000"/>
    <m/>
    <m/>
    <n v="10460240000"/>
    <m/>
    <n v="12437119000"/>
    <m/>
    <s v="Real Estate"/>
    <m/>
    <n v="0.53685560246216535"/>
    <x v="19"/>
    <s v="USA"/>
  </r>
  <r>
    <x v="18"/>
    <n v="23954541000"/>
    <m/>
    <m/>
    <m/>
    <n v="448196000"/>
    <m/>
    <m/>
    <n v="883443000"/>
    <m/>
    <m/>
    <n v="10866226000"/>
    <m/>
    <n v="12863866000"/>
    <m/>
    <s v="Real Estate"/>
    <m/>
    <n v="0.53701158373270441"/>
    <x v="19"/>
    <s v="USA"/>
  </r>
  <r>
    <x v="19"/>
    <n v="22584555000"/>
    <m/>
    <m/>
    <m/>
    <n v="442497000"/>
    <m/>
    <m/>
    <n v="943705000"/>
    <m/>
    <m/>
    <n v="10215857000"/>
    <m/>
    <n v="12124820000"/>
    <m/>
    <s v="Real Estate"/>
    <m/>
    <n v="0.53686335639555438"/>
    <x v="19"/>
    <s v="USA"/>
  </r>
  <r>
    <x v="20"/>
    <n v="24692208000"/>
    <m/>
    <m/>
    <m/>
    <n v="451662000"/>
    <m/>
    <m/>
    <n v="942874000"/>
    <m/>
    <m/>
    <n v="10445892000"/>
    <m/>
    <n v="13873078000"/>
    <m/>
    <s v="Real Estate"/>
    <m/>
    <n v="0.56184031820888602"/>
    <x v="19"/>
    <s v="USA"/>
  </r>
  <r>
    <x v="21"/>
    <n v="23929404000"/>
    <m/>
    <m/>
    <m/>
    <n v="469541000"/>
    <m/>
    <m/>
    <n v="1012054000"/>
    <m/>
    <m/>
    <n v="10180167000"/>
    <m/>
    <n v="13415723000"/>
    <m/>
    <s v="Real Estate"/>
    <m/>
    <n v="0.56063757375653822"/>
    <x v="19"/>
    <s v="USA"/>
  </r>
  <r>
    <x v="22"/>
    <n v="24717786000"/>
    <m/>
    <m/>
    <m/>
    <n v="440089000"/>
    <m/>
    <m/>
    <n v="3828007000"/>
    <m/>
    <m/>
    <n v="10854385000"/>
    <m/>
    <n v="13491743000"/>
    <m/>
    <s v="Real Estate"/>
    <m/>
    <n v="0.54583137017206962"/>
    <x v="19"/>
    <s v="USA"/>
  </r>
  <r>
    <x v="23"/>
    <n v="24157840000"/>
    <m/>
    <m/>
    <m/>
    <n v="467557000"/>
    <m/>
    <m/>
    <n v="4129193000"/>
    <m/>
    <m/>
    <n v="10152968000"/>
    <m/>
    <n v="13671513000"/>
    <m/>
    <s v="Real Estate"/>
    <m/>
    <n v="0.56592447834740189"/>
    <x v="19"/>
    <s v="USA"/>
  </r>
  <r>
    <x v="24"/>
    <n v="24725433000"/>
    <m/>
    <m/>
    <m/>
    <n v="574112000"/>
    <m/>
    <m/>
    <n v="4497827000"/>
    <m/>
    <m/>
    <n v="9488058000"/>
    <m/>
    <n v="14878392000"/>
    <m/>
    <s v="Real Estate"/>
    <m/>
    <n v="0.60174444669988181"/>
    <x v="19"/>
    <s v="USA"/>
  </r>
  <r>
    <x v="25"/>
    <n v="26186906000"/>
    <m/>
    <m/>
    <m/>
    <n v="602835000"/>
    <m/>
    <m/>
    <n v="4924266000"/>
    <m/>
    <m/>
    <n v="10771267000"/>
    <m/>
    <n v="15047081000"/>
    <m/>
    <s v="Real Estate"/>
    <m/>
    <n v="0.57460323873312869"/>
    <x v="19"/>
    <s v="USA"/>
  </r>
  <r>
    <x v="13"/>
    <n v="17201000000"/>
    <m/>
    <n v="140889000"/>
    <m/>
    <m/>
    <m/>
    <m/>
    <n v="2123715000"/>
    <m/>
    <m/>
    <n v="7289813000"/>
    <m/>
    <n v="9275521000"/>
    <m/>
    <s v="Real Estate"/>
    <m/>
    <n v="0.53924312539968611"/>
    <x v="20"/>
    <s v="USA"/>
  </r>
  <r>
    <x v="14"/>
    <n v="22834545000"/>
    <m/>
    <n v="104246000"/>
    <m/>
    <n v="700000"/>
    <m/>
    <m/>
    <n v="2387702000"/>
    <m/>
    <m/>
    <n v="10507201000"/>
    <m/>
    <n v="11626205000"/>
    <m/>
    <s v="Real Estate"/>
    <m/>
    <n v="0.50914984292439369"/>
    <x v="20"/>
    <s v="USA"/>
  </r>
  <r>
    <x v="15"/>
    <n v="22950614000"/>
    <m/>
    <n v="921375000"/>
    <m/>
    <n v="1300000"/>
    <m/>
    <m/>
    <n v="2614748000"/>
    <m/>
    <m/>
    <n v="10368456000"/>
    <m/>
    <n v="11742105000"/>
    <m/>
    <s v="Real Estate"/>
    <m/>
    <n v="0.51162487417547953"/>
    <x v="20"/>
    <s v="USA"/>
  </r>
  <r>
    <x v="16"/>
    <n v="23157328000"/>
    <m/>
    <n v="1008820000"/>
    <m/>
    <m/>
    <m/>
    <m/>
    <n v="2744965000"/>
    <m/>
    <m/>
    <n v="10470368000"/>
    <m/>
    <n v="11894190000"/>
    <m/>
    <s v="Real Estate"/>
    <m/>
    <n v="0.51362531981237214"/>
    <x v="20"/>
    <s v="USA"/>
  </r>
  <r>
    <x v="17"/>
    <n v="20704148000"/>
    <m/>
    <n v="856086000"/>
    <m/>
    <m/>
    <m/>
    <m/>
    <n v="2425800000"/>
    <m/>
    <m/>
    <n v="10229078000"/>
    <m/>
    <n v="9801072000"/>
    <m/>
    <s v="Real Estate"/>
    <m/>
    <n v="0.47338687880322339"/>
    <x v="20"/>
    <s v="USA"/>
  </r>
  <r>
    <x v="18"/>
    <n v="20570599000"/>
    <m/>
    <n v="847471000"/>
    <m/>
    <m/>
    <m/>
    <m/>
    <n v="2471406000"/>
    <m/>
    <m/>
    <n v="10242464000"/>
    <m/>
    <n v="9729781000"/>
    <m/>
    <s v="Real Estate"/>
    <m/>
    <n v="0.47299453943951753"/>
    <x v="20"/>
    <s v="USA"/>
  </r>
  <r>
    <x v="19"/>
    <n v="20394209000"/>
    <m/>
    <n v="858560000"/>
    <m/>
    <m/>
    <m/>
    <m/>
    <n v="2578434000"/>
    <m/>
    <m/>
    <n v="10173204000"/>
    <m/>
    <n v="9615454000"/>
    <m/>
    <s v="Real Estate"/>
    <m/>
    <n v="0.47147962443652508"/>
    <x v="20"/>
    <s v="USA"/>
  </r>
  <r>
    <x v="20"/>
    <n v="21172769000"/>
    <m/>
    <n v="1356544000"/>
    <m/>
    <m/>
    <m/>
    <m/>
    <n v="2701075000"/>
    <m/>
    <m/>
    <n v="10315506000"/>
    <m/>
    <n v="10164843000"/>
    <m/>
    <s v="Real Estate"/>
    <m/>
    <n v="0.48009039346719362"/>
    <x v="20"/>
    <s v="USA"/>
  </r>
  <r>
    <x v="21"/>
    <n v="20286891000"/>
    <m/>
    <n v="1317990000"/>
    <m/>
    <m/>
    <m/>
    <m/>
    <m/>
    <m/>
    <m/>
    <n v="10525651000"/>
    <m/>
    <n v="9184454000"/>
    <m/>
    <s v="Real Estate"/>
    <m/>
    <n v="0.45272851320589241"/>
    <x v="20"/>
    <s v="USA"/>
  </r>
  <r>
    <x v="22"/>
    <n v="21169241000"/>
    <m/>
    <n v="1675841000"/>
    <m/>
    <m/>
    <m/>
    <m/>
    <m/>
    <m/>
    <m/>
    <n v="10954948000"/>
    <m/>
    <n v="9483056000"/>
    <m/>
    <s v="Real Estate"/>
    <m/>
    <n v="0.44796391141278991"/>
    <x v="20"/>
    <s v="USA"/>
  </r>
  <r>
    <x v="23"/>
    <n v="20218262000"/>
    <m/>
    <n v="1116046000"/>
    <m/>
    <m/>
    <m/>
    <m/>
    <m/>
    <m/>
    <m/>
    <n v="11173439000"/>
    <m/>
    <n v="8517310000"/>
    <m/>
    <s v="Real Estate"/>
    <m/>
    <n v="0.42126815845991122"/>
    <x v="20"/>
    <s v="USA"/>
  </r>
  <r>
    <x v="24"/>
    <n v="20034564000"/>
    <m/>
    <n v="1160585000"/>
    <m/>
    <m/>
    <m/>
    <m/>
    <m/>
    <m/>
    <m/>
    <n v="11085828000"/>
    <m/>
    <n v="8456188000"/>
    <m/>
    <s v="Real Estate"/>
    <m/>
    <n v="0.42207996141068999"/>
    <x v="20"/>
    <s v="USA"/>
  </r>
  <r>
    <x v="25"/>
    <n v="20834176000"/>
    <m/>
    <m/>
    <m/>
    <m/>
    <m/>
    <m/>
    <m/>
    <m/>
    <m/>
    <n v="11044560000"/>
    <m/>
    <n v="9249829000"/>
    <m/>
    <s v="Real Estate"/>
    <m/>
    <n v="0.44397383414635638"/>
    <x v="20"/>
    <s v="USA"/>
  </r>
  <r>
    <x v="13"/>
    <n v="11160078000"/>
    <m/>
    <n v="708375000"/>
    <m/>
    <n v="136920000"/>
    <m/>
    <m/>
    <n v="246032000"/>
    <m/>
    <m/>
    <n v="6837215000"/>
    <m/>
    <n v="4312258000"/>
    <m/>
    <s v="Real Estate"/>
    <m/>
    <n v="0.38640034594740291"/>
    <x v="21"/>
    <s v="USA"/>
  </r>
  <r>
    <x v="14"/>
    <n v="15328143000"/>
    <m/>
    <n v="997446000"/>
    <m/>
    <n v="172402000"/>
    <m/>
    <m/>
    <n v="301356000"/>
    <m/>
    <m/>
    <n v="8596132000"/>
    <m/>
    <n v="6711096000"/>
    <m/>
    <s v="Real Estate"/>
    <m/>
    <n v="0.43782837881927378"/>
    <x v="21"/>
    <s v="USA"/>
  </r>
  <r>
    <x v="15"/>
    <n v="16176723000"/>
    <m/>
    <n v="1134096000"/>
    <m/>
    <n v="180618000"/>
    <m/>
    <m/>
    <n v="400075000"/>
    <m/>
    <m/>
    <n v="9046405000"/>
    <m/>
    <n v="7117553000"/>
    <m/>
    <s v="Real Estate"/>
    <m/>
    <n v="0.43998732005239882"/>
    <x v="21"/>
    <s v="USA"/>
  </r>
  <r>
    <x v="16"/>
    <n v="16931305000"/>
    <m/>
    <n v="1264205000"/>
    <m/>
    <n v="175615000"/>
    <m/>
    <m/>
    <n v="442367000"/>
    <m/>
    <m/>
    <m/>
    <m/>
    <n v="7080782000"/>
    <m/>
    <s v="Real Estate"/>
    <m/>
    <n v="0.41820651154769228"/>
    <x v="21"/>
    <s v="USA"/>
  </r>
  <r>
    <x v="17"/>
    <n v="17867271000"/>
    <m/>
    <n v="1410697000"/>
    <m/>
    <n v="187510000"/>
    <m/>
    <m/>
    <n v="508498000"/>
    <m/>
    <m/>
    <m/>
    <m/>
    <n v="7688089000"/>
    <m/>
    <s v="Real Estate"/>
    <m/>
    <n v="0.43028893444331823"/>
    <x v="21"/>
    <s v="USA"/>
  </r>
  <r>
    <x v="18"/>
    <n v="18414821000"/>
    <m/>
    <n v="1490068000"/>
    <m/>
    <n v="199661000"/>
    <m/>
    <m/>
    <n v="522326000"/>
    <m/>
    <m/>
    <m/>
    <m/>
    <n v="8020719000"/>
    <m/>
    <s v="Real Estate"/>
    <m/>
    <n v="0.43555780422736662"/>
    <x v="21"/>
    <s v="USA"/>
  </r>
  <r>
    <x v="19"/>
    <n v="18380200000"/>
    <m/>
    <n v="1539586000"/>
    <m/>
    <n v="220974000"/>
    <m/>
    <m/>
    <n v="560792000"/>
    <m/>
    <m/>
    <n v="10632606000"/>
    <m/>
    <n v="7744350000"/>
    <m/>
    <s v="Real Estate"/>
    <m/>
    <n v="0.4213419875735846"/>
    <x v="21"/>
    <s v="USA"/>
  </r>
  <r>
    <x v="20"/>
    <n v="19121051000"/>
    <m/>
    <n v="1627210000"/>
    <m/>
    <n v="203585000"/>
    <m/>
    <m/>
    <n v="566184000"/>
    <m/>
    <m/>
    <n v="10989549000"/>
    <m/>
    <n v="8127601000"/>
    <m/>
    <s v="Real Estate"/>
    <m/>
    <n v="0.42506036932802488"/>
    <x v="21"/>
    <s v="USA"/>
  </r>
  <r>
    <x v="21"/>
    <n v="19199144000"/>
    <m/>
    <n v="1547190000"/>
    <m/>
    <n v="214151000"/>
    <m/>
    <m/>
    <n v="2301261000"/>
    <m/>
    <m/>
    <n v="10751583000"/>
    <m/>
    <n v="8444293000"/>
    <m/>
    <s v="Real Estate"/>
    <m/>
    <n v="0.43982653601639737"/>
    <x v="21"/>
    <s v="USA"/>
  </r>
  <r>
    <x v="22"/>
    <n v="19902016000"/>
    <m/>
    <n v="1514678000"/>
    <m/>
    <n v="220415000"/>
    <m/>
    <m/>
    <n v="2294850000"/>
    <m/>
    <m/>
    <n v="10932527000"/>
    <m/>
    <n v="8965555000"/>
    <m/>
    <s v="Real Estate"/>
    <m/>
    <n v="0.45048476496049439"/>
    <x v="21"/>
    <s v="USA"/>
  </r>
  <r>
    <x v="23"/>
    <n v="20457764000"/>
    <m/>
    <n v="1765786000"/>
    <m/>
    <n v="230074000"/>
    <m/>
    <m/>
    <n v="2593446000"/>
    <m/>
    <m/>
    <n v="11253476000"/>
    <m/>
    <n v="9201526000"/>
    <m/>
    <s v="Real Estate"/>
    <m/>
    <n v="0.4497816085863538"/>
    <x v="21"/>
    <s v="USA"/>
  </r>
  <r>
    <x v="24"/>
    <n v="20678214000"/>
    <m/>
    <n v="1886748000"/>
    <m/>
    <n v="205992000"/>
    <m/>
    <m/>
    <n v="2767909000"/>
    <m/>
    <m/>
    <n v="11783241000"/>
    <m/>
    <n v="8893423000"/>
    <m/>
    <s v="Real Estate"/>
    <m/>
    <n v="0.43008661192886388"/>
    <x v="21"/>
    <s v="USA"/>
  </r>
  <r>
    <x v="25"/>
    <n v="21000737000"/>
    <m/>
    <n v="1974431000"/>
    <m/>
    <n v="226589000"/>
    <m/>
    <m/>
    <n v="2913757000"/>
    <m/>
    <m/>
    <n v="11941092000"/>
    <m/>
    <n v="9059645000"/>
    <m/>
    <s v="Real Estate"/>
    <m/>
    <n v="0.43139652670284862"/>
    <x v="21"/>
    <s v="USA"/>
  </r>
  <r>
    <x v="13"/>
    <n v="6888509000"/>
    <m/>
    <n v="-64739000"/>
    <n v="684398000"/>
    <n v="138792000"/>
    <m/>
    <m/>
    <n v="729363000"/>
    <m/>
    <m/>
    <n v="2992916000"/>
    <m/>
    <n v="3671259000"/>
    <m/>
    <s v="Real Estate"/>
    <m/>
    <n v="0.53295408338727579"/>
    <x v="22"/>
    <s v="USA"/>
  </r>
  <r>
    <x v="14"/>
    <n v="6807722000"/>
    <m/>
    <n v="116920000"/>
    <n v="510845000"/>
    <n v="126083000"/>
    <m/>
    <m/>
    <n v="758926000"/>
    <m/>
    <m/>
    <n v="2811648000"/>
    <m/>
    <n v="3777621000"/>
    <m/>
    <s v="Real Estate"/>
    <m/>
    <n v="0.5549023594089183"/>
    <x v="22"/>
    <s v="USA"/>
  </r>
  <r>
    <x v="15"/>
    <n v="6846534000"/>
    <m/>
    <n v="126764000"/>
    <n v="674711000"/>
    <n v="130454000"/>
    <m/>
    <m/>
    <n v="818046000"/>
    <m/>
    <m/>
    <n v="2735097000"/>
    <m/>
    <n v="3828104000"/>
    <m/>
    <s v="Real Estate"/>
    <m/>
    <n v="0.55913021099435134"/>
    <x v="22"/>
    <s v="USA"/>
  </r>
  <r>
    <x v="16"/>
    <n v="7663844000"/>
    <m/>
    <n v="159591000"/>
    <n v="839649000"/>
    <n v="121875000"/>
    <m/>
    <m/>
    <n v="894638000"/>
    <m/>
    <m/>
    <n v="2899755000"/>
    <m/>
    <n v="3816797000"/>
    <m/>
    <s v="Real Estate"/>
    <m/>
    <n v="0.49802644730242418"/>
    <x v="22"/>
    <s v="USA"/>
  </r>
  <r>
    <x v="17"/>
    <n v="7679584000"/>
    <m/>
    <n v="174622000"/>
    <n v="837613000"/>
    <n v="123031000"/>
    <m/>
    <m/>
    <n v="959861000"/>
    <m/>
    <m/>
    <n v="3093110000"/>
    <m/>
    <n v="3673132000"/>
    <m/>
    <s v="Real Estate"/>
    <m/>
    <n v="0.47829830365811482"/>
    <x v="22"/>
    <s v="USA"/>
  </r>
  <r>
    <x v="18"/>
    <n v="7733273000"/>
    <m/>
    <n v="184494000"/>
    <n v="686491000"/>
    <n v="128711000"/>
    <m/>
    <m/>
    <n v="984309000"/>
    <m/>
    <m/>
    <n v="2825800000"/>
    <m/>
    <n v="3949771000"/>
    <m/>
    <s v="Real Estate"/>
    <m/>
    <n v="0.51075023473243475"/>
    <x v="22"/>
    <s v="USA"/>
  </r>
  <r>
    <x v="19"/>
    <n v="7711728000"/>
    <m/>
    <n v="354718000"/>
    <n v="773641000"/>
    <n v="134168000"/>
    <m/>
    <m/>
    <n v="1046859000"/>
    <m/>
    <m/>
    <n v="2905625000"/>
    <m/>
    <n v="3816211000"/>
    <m/>
    <s v="Real Estate"/>
    <m/>
    <n v="0.49485809146795628"/>
    <x v="22"/>
    <s v="USA"/>
  </r>
  <r>
    <x v="20"/>
    <n v="9636472000"/>
    <m/>
    <n v="221057000"/>
    <n v="867643000"/>
    <n v="170917000"/>
    <m/>
    <m/>
    <n v="1152193000"/>
    <m/>
    <m/>
    <n v="3358542000"/>
    <m/>
    <n v="5228493000"/>
    <m/>
    <s v="Real Estate"/>
    <m/>
    <n v="0.54257336087314945"/>
    <x v="22"/>
    <s v="USA"/>
  </r>
  <r>
    <x v="21"/>
    <n v="9637533000"/>
    <m/>
    <n v="249103000"/>
    <n v="888146000"/>
    <n v="202706000"/>
    <m/>
    <m/>
    <n v="1241165000"/>
    <m/>
    <m/>
    <n v="3234200000"/>
    <m/>
    <n v="5522648000"/>
    <m/>
    <s v="Real Estate"/>
    <m/>
    <n v="0.57303544382156724"/>
    <x v="22"/>
    <s v="USA"/>
  </r>
  <r>
    <x v="22"/>
    <n v="10775220000"/>
    <m/>
    <n v="267968000"/>
    <n v="957555000"/>
    <n v="186267000"/>
    <m/>
    <m/>
    <n v="1290767000"/>
    <m/>
    <m/>
    <n v="3442874000"/>
    <m/>
    <n v="6001474000"/>
    <m/>
    <s v="Real Estate"/>
    <m/>
    <n v="0.55696997369891288"/>
    <x v="22"/>
    <s v="USA"/>
  </r>
  <r>
    <x v="23"/>
    <n v="11038470000"/>
    <m/>
    <n v="250814000"/>
    <n v="922745000"/>
    <n v="155900000"/>
    <m/>
    <m/>
    <n v="1517386000"/>
    <m/>
    <m/>
    <n v="4098085000"/>
    <m/>
    <n v="6100325000"/>
    <m/>
    <s v="Real Estate"/>
    <m/>
    <n v="0.55264225929861654"/>
    <x v="22"/>
    <s v="USA"/>
  </r>
  <r>
    <x v="24"/>
    <n v="11373242000"/>
    <m/>
    <n v="635008000"/>
    <n v="1319163000"/>
    <n v="180866000"/>
    <m/>
    <m/>
    <n v="1627501000"/>
    <m/>
    <m/>
    <n v="3991144000"/>
    <m/>
    <n v="6420801000"/>
    <m/>
    <s v="Real Estate"/>
    <m/>
    <n v="0.56455327337622818"/>
    <x v="22"/>
    <s v="USA"/>
  </r>
  <r>
    <x v="25"/>
    <n v="10897586000"/>
    <m/>
    <n v="284569000"/>
    <m/>
    <m/>
    <m/>
    <m/>
    <n v="1671842000"/>
    <m/>
    <m/>
    <n v="3443205000"/>
    <m/>
    <n v="6436691000"/>
    <m/>
    <s v="Real Estate"/>
    <m/>
    <n v="0.59065292074776932"/>
    <x v="22"/>
    <s v="USA"/>
  </r>
  <r>
    <x v="13"/>
    <n v="4847223000"/>
    <m/>
    <n v="168925000"/>
    <m/>
    <n v="100244000"/>
    <m/>
    <m/>
    <m/>
    <m/>
    <m/>
    <n v="1764804000"/>
    <m/>
    <n v="2962758000"/>
    <m/>
    <s v="Real Estate"/>
    <m/>
    <n v="0.61122791338463278"/>
    <x v="23"/>
    <s v="USA"/>
  </r>
  <r>
    <x v="14"/>
    <n v="5186839000"/>
    <m/>
    <n v="188705000"/>
    <m/>
    <n v="104600000"/>
    <m/>
    <m/>
    <m/>
    <m/>
    <m/>
    <n v="1884619000"/>
    <m/>
    <n v="3184252000"/>
    <m/>
    <s v="Real Estate"/>
    <m/>
    <n v="0.61390993628296542"/>
    <x v="23"/>
    <s v="USA"/>
  </r>
  <r>
    <x v="15"/>
    <n v="11562874000"/>
    <m/>
    <n v="201514000"/>
    <m/>
    <n v="164551000"/>
    <m/>
    <m/>
    <m/>
    <m/>
    <m/>
    <n v="6022672000"/>
    <m/>
    <n v="5403550000"/>
    <m/>
    <s v="Real Estate"/>
    <m/>
    <n v="0.46731893818094011"/>
    <x v="23"/>
    <s v="USA"/>
  </r>
  <r>
    <x v="16"/>
    <n v="12005091000"/>
    <m/>
    <n v="331174000"/>
    <m/>
    <n v="204827000"/>
    <m/>
    <m/>
    <m/>
    <m/>
    <m/>
    <n v="6237733000"/>
    <m/>
    <n v="5622616000"/>
    <m/>
    <s v="Real Estate"/>
    <m/>
    <n v="0.46835263472804989"/>
    <x v="23"/>
    <s v="USA"/>
  </r>
  <r>
    <x v="17"/>
    <n v="12217408000"/>
    <m/>
    <n v="420800000"/>
    <m/>
    <n v="219654000"/>
    <m/>
    <m/>
    <m/>
    <m/>
    <m/>
    <n v="6192178000"/>
    <m/>
    <n v="5880487000"/>
    <m/>
    <s v="Real Estate"/>
    <m/>
    <n v="0.48132034225262837"/>
    <x v="23"/>
    <s v="USA"/>
  </r>
  <r>
    <x v="18"/>
    <n v="12495706000"/>
    <m/>
    <n v="446522000"/>
    <m/>
    <n v="222894000"/>
    <m/>
    <m/>
    <n v="1363899000"/>
    <m/>
    <m/>
    <n v="6277406000"/>
    <m/>
    <n v="6059675000"/>
    <m/>
    <s v="Real Estate"/>
    <m/>
    <n v="0.48494058679037422"/>
    <x v="23"/>
    <s v="USA"/>
  </r>
  <r>
    <x v="19"/>
    <n v="12383596000"/>
    <m/>
    <n v="450128000"/>
    <m/>
    <n v="220492000"/>
    <m/>
    <m/>
    <n v="1400053000"/>
    <m/>
    <m/>
    <n v="6267073000"/>
    <m/>
    <n v="5954277000"/>
    <m/>
    <s v="Real Estate"/>
    <m/>
    <n v="0.48081970697364479"/>
    <x v="23"/>
    <s v="USA"/>
  </r>
  <r>
    <x v="20"/>
    <n v="12705405000"/>
    <m/>
    <n v="481112000"/>
    <m/>
    <n v="217339000"/>
    <m/>
    <m/>
    <n v="1460155000"/>
    <m/>
    <m/>
    <n v="6220427000"/>
    <m/>
    <n v="6264491000"/>
    <m/>
    <s v="Real Estate"/>
    <m/>
    <n v="0.49305716740237721"/>
    <x v="23"/>
    <s v="USA"/>
  </r>
  <r>
    <x v="21"/>
    <n v="12936177000"/>
    <m/>
    <n v="491441000"/>
    <m/>
    <n v="220633000"/>
    <m/>
    <m/>
    <n v="1495748000"/>
    <m/>
    <m/>
    <n v="6000410000"/>
    <m/>
    <n v="6720746000"/>
    <m/>
    <s v="Real Estate"/>
    <m/>
    <n v="0.51953107939076593"/>
    <x v="23"/>
    <s v="USA"/>
  </r>
  <r>
    <x v="22"/>
    <n v="12997873000"/>
    <m/>
    <n v="529995000"/>
    <m/>
    <n v="203125000"/>
    <m/>
    <m/>
    <n v="1440556000"/>
    <m/>
    <m/>
    <n v="5993603000"/>
    <m/>
    <n v="6786699000"/>
    <m/>
    <s v="Real Estate"/>
    <m/>
    <n v="0.52213919923667507"/>
    <x v="23"/>
    <s v="USA"/>
  </r>
  <r>
    <x v="23"/>
    <n v="12372905000"/>
    <m/>
    <n v="595229000"/>
    <m/>
    <n v="204798000"/>
    <m/>
    <m/>
    <n v="1606814000"/>
    <m/>
    <m/>
    <n v="5716372000"/>
    <m/>
    <n v="6450639000"/>
    <m/>
    <s v="Real Estate"/>
    <m/>
    <n v="0.52135201878621062"/>
    <x v="23"/>
    <s v="USA"/>
  </r>
  <r>
    <x v="24"/>
    <n v="12361427000"/>
    <m/>
    <n v="584342000"/>
    <m/>
    <n v="212905000"/>
    <m/>
    <m/>
    <n v="1669395000"/>
    <m/>
    <m/>
    <n v="5422746000"/>
    <m/>
    <n v="6735244000"/>
    <m/>
    <s v="Real Estate"/>
    <m/>
    <n v="0.54485974798864245"/>
    <x v="23"/>
    <s v="USA"/>
  </r>
  <r>
    <x v="25"/>
    <n v="12927359000"/>
    <m/>
    <n v="703095000"/>
    <m/>
    <m/>
    <m/>
    <m/>
    <n v="1774450000"/>
    <m/>
    <m/>
    <n v="5537046000"/>
    <m/>
    <n v="7176120000"/>
    <m/>
    <s v="Real Estate"/>
    <m/>
    <n v="0.55511106328833293"/>
    <x v="23"/>
    <s v="USA"/>
  </r>
  <r>
    <x v="13"/>
    <n v="2751068000"/>
    <m/>
    <n v="29963000"/>
    <m/>
    <n v="14110000"/>
    <m/>
    <m/>
    <n v="116286000"/>
    <m/>
    <m/>
    <n v="914052000"/>
    <m/>
    <n v="1801245000"/>
    <m/>
    <s v="Real Estate"/>
    <m/>
    <n v="0.6547439030950889"/>
    <x v="24"/>
    <s v="USA"/>
  </r>
  <r>
    <x v="14"/>
    <n v="6841925000"/>
    <m/>
    <m/>
    <m/>
    <m/>
    <m/>
    <m/>
    <m/>
    <m/>
    <m/>
    <m/>
    <m/>
    <m/>
    <m/>
    <s v="Real Estate"/>
    <m/>
    <m/>
    <x v="24"/>
    <s v="USA"/>
  </r>
  <r>
    <x v="18"/>
    <m/>
    <m/>
    <m/>
    <n v="980289000"/>
    <n v="154751000"/>
    <m/>
    <m/>
    <n v="1528987000"/>
    <m/>
    <m/>
    <m/>
    <m/>
    <m/>
    <m/>
    <s v="Real Estate"/>
    <m/>
    <m/>
    <x v="24"/>
    <s v="USA"/>
  </r>
  <r>
    <x v="19"/>
    <n v="11323781000"/>
    <m/>
    <m/>
    <n v="890099000"/>
    <n v="173594000"/>
    <m/>
    <m/>
    <n v="1571346000"/>
    <m/>
    <m/>
    <n v="6149840000"/>
    <m/>
    <n v="4942178000"/>
    <m/>
    <s v="Real Estate"/>
    <m/>
    <n v="0.43644238616059422"/>
    <x v="24"/>
    <s v="USA"/>
  </r>
  <r>
    <x v="20"/>
    <n v="11230450000"/>
    <m/>
    <m/>
    <n v="1035144000"/>
    <n v="179847000"/>
    <m/>
    <m/>
    <n v="1641017000"/>
    <m/>
    <m/>
    <n v="6068565000"/>
    <m/>
    <n v="4926860000"/>
    <m/>
    <s v="Real Estate"/>
    <m/>
    <n v="0.43870548375176421"/>
    <x v="24"/>
    <s v="USA"/>
  </r>
  <r>
    <x v="21"/>
    <n v="11194791000"/>
    <m/>
    <m/>
    <n v="937529000"/>
    <n v="167562000"/>
    <m/>
    <m/>
    <n v="1677984000"/>
    <m/>
    <m/>
    <n v="5871633000"/>
    <m/>
    <n v="5090986000"/>
    <m/>
    <s v="Real Estate"/>
    <m/>
    <n v="0.45476382721213821"/>
    <x v="24"/>
    <s v="USA"/>
  </r>
  <r>
    <x v="22"/>
    <n v="11285182000"/>
    <m/>
    <m/>
    <n v="1238724000"/>
    <n v="156881000"/>
    <m/>
    <m/>
    <n v="1778082000"/>
    <m/>
    <m/>
    <n v="5965177000"/>
    <m/>
    <n v="5101090000"/>
    <m/>
    <s v="Real Estate"/>
    <m/>
    <n v="0.45201663562005467"/>
    <x v="24"/>
    <s v="USA"/>
  </r>
  <r>
    <x v="23"/>
    <n v="11241165000"/>
    <m/>
    <m/>
    <n v="1329979000"/>
    <n v="154747000"/>
    <m/>
    <m/>
    <n v="2019866000"/>
    <m/>
    <m/>
    <n v="6005089000"/>
    <m/>
    <n v="5030746000"/>
    <m/>
    <s v="Real Estate"/>
    <m/>
    <n v="0.44752888157054899"/>
    <x v="24"/>
    <s v="USA"/>
  </r>
  <r>
    <x v="24"/>
    <n v="11484503000"/>
    <m/>
    <m/>
    <n v="1272641000"/>
    <n v="149234000"/>
    <m/>
    <m/>
    <n v="2148468000"/>
    <m/>
    <m/>
    <n v="6094071000"/>
    <m/>
    <n v="5185381000"/>
    <m/>
    <s v="Real Estate"/>
    <m/>
    <n v="0.45151113635479051"/>
    <x v="24"/>
    <s v="USA"/>
  </r>
  <r>
    <x v="25"/>
    <n v="11812369000"/>
    <m/>
    <m/>
    <n v="1287729000"/>
    <n v="168544000"/>
    <m/>
    <m/>
    <n v="2191015000"/>
    <m/>
    <m/>
    <n v="5942131000"/>
    <m/>
    <n v="5664705000"/>
    <m/>
    <s v="Real Estate"/>
    <m/>
    <n v="0.47955706429421568"/>
    <x v="24"/>
    <s v="USA"/>
  </r>
  <r>
    <x v="13"/>
    <n v="27310145000"/>
    <m/>
    <n v="85589000"/>
    <n v="1238803000"/>
    <n v="507484000"/>
    <m/>
    <m/>
    <m/>
    <m/>
    <m/>
    <n v="13069017000"/>
    <m/>
    <n v="13536809000"/>
    <m/>
    <s v="Real Estate"/>
    <m/>
    <n v="0.49566961288561451"/>
    <x v="25"/>
    <s v="USA"/>
  </r>
  <r>
    <x v="14"/>
    <n v="24572307000"/>
    <m/>
    <n v="97039000"/>
    <n v="1492988000"/>
    <n v="379327000"/>
    <m/>
    <m/>
    <m/>
    <m/>
    <m/>
    <n v="13711158000"/>
    <m/>
    <n v="10395854000"/>
    <m/>
    <s v="Real Estate"/>
    <m/>
    <n v="0.42307195657290142"/>
    <x v="25"/>
    <s v="USA"/>
  </r>
  <r>
    <x v="15"/>
    <n v="25818223000"/>
    <m/>
    <n v="71466000"/>
    <n v="1613185000"/>
    <n v="308885000"/>
    <m/>
    <m/>
    <m/>
    <m/>
    <m/>
    <n v="13975509000"/>
    <m/>
    <n v="10634624000"/>
    <m/>
    <s v="Real Estate"/>
    <m/>
    <n v="0.41190379368866709"/>
    <x v="25"/>
    <s v="USA"/>
  </r>
  <r>
    <x v="16"/>
    <n v="31394767000"/>
    <m/>
    <n v="83881000"/>
    <n v="2074265000"/>
    <n v="301363000"/>
    <m/>
    <m/>
    <m/>
    <m/>
    <m/>
    <n v="14667935000"/>
    <m/>
    <n v="12973931000"/>
    <m/>
    <s v="Real Estate"/>
    <m/>
    <n v="0.41325138676773743"/>
    <x v="25"/>
    <s v="USA"/>
  </r>
  <r>
    <x v="17"/>
    <n v="30249932000"/>
    <m/>
    <n v="129198000"/>
    <m/>
    <n v="303146000"/>
    <m/>
    <m/>
    <n v="2533135000"/>
    <m/>
    <m/>
    <n v="14991081000"/>
    <m/>
    <n v="11791792000"/>
    <m/>
    <s v="Real Estate"/>
    <m/>
    <n v="0.38981218205713652"/>
    <x v="25"/>
    <s v="USA"/>
  </r>
  <r>
    <x v="18"/>
    <n v="29481075000"/>
    <m/>
    <n v="161886000"/>
    <m/>
    <n v="274486000"/>
    <m/>
    <m/>
    <n v="629155000"/>
    <m/>
    <m/>
    <n v="15631158000"/>
    <m/>
    <n v="10775334000"/>
    <m/>
    <s v="Real Estate"/>
    <m/>
    <n v="0.36550003688807142"/>
    <x v="25"/>
    <s v="USA"/>
  </r>
  <r>
    <x v="19"/>
    <n v="38417664000"/>
    <m/>
    <n v="237107000"/>
    <m/>
    <n v="229141000"/>
    <m/>
    <m/>
    <n v="693656000"/>
    <m/>
    <m/>
    <n v="22298093000"/>
    <m/>
    <n v="12616776000"/>
    <m/>
    <s v="Real Estate"/>
    <m/>
    <n v="0.32841080602922662"/>
    <x v="25"/>
    <s v="USA"/>
  </r>
  <r>
    <x v="20"/>
    <n v="40031850000"/>
    <m/>
    <n v="376590000"/>
    <m/>
    <n v="239953000"/>
    <m/>
    <m/>
    <n v="772052000"/>
    <m/>
    <m/>
    <n v="22653127000"/>
    <m/>
    <n v="13960066000"/>
    <m/>
    <s v="Real Estate"/>
    <m/>
    <n v="0.3487239785320938"/>
    <x v="25"/>
    <s v="USA"/>
  </r>
  <r>
    <x v="21"/>
    <n v="56065005000"/>
    <m/>
    <n v="468057000"/>
    <m/>
    <n v="314507000"/>
    <m/>
    <m/>
    <n v="978241000"/>
    <m/>
    <m/>
    <n v="31971547000"/>
    <m/>
    <n v="19740425000"/>
    <m/>
    <s v="Real Estate"/>
    <m/>
    <n v="0.35209887165799769"/>
    <x v="25"/>
    <s v="USA"/>
  </r>
  <r>
    <x v="22"/>
    <n v="58486220000"/>
    <m/>
    <n v="532197000"/>
    <m/>
    <n v="266228000"/>
    <m/>
    <m/>
    <n v="1148316000"/>
    <m/>
    <m/>
    <n v="33426873000"/>
    <m/>
    <n v="20744010000"/>
    <m/>
    <s v="Real Estate"/>
    <m/>
    <n v="0.35468200885610318"/>
    <x v="25"/>
    <s v="USA"/>
  </r>
  <r>
    <x v="23"/>
    <n v="87897448000"/>
    <m/>
    <n v="1205802000"/>
    <m/>
    <n v="309037000"/>
    <m/>
    <m/>
    <n v="1219128000"/>
    <m/>
    <m/>
    <n v="53237282000"/>
    <m/>
    <n v="30034355000"/>
    <m/>
    <s v="Real Estate"/>
    <m/>
    <n v="0.34169769069973449"/>
    <x v="25"/>
    <s v="USA"/>
  </r>
  <r>
    <x v="24"/>
    <n v="93020840000"/>
    <m/>
    <n v="579043000"/>
    <m/>
    <n v="641332000"/>
    <m/>
    <m/>
    <n v="1768587000"/>
    <m/>
    <m/>
    <n v="53181724000"/>
    <m/>
    <n v="35197120000"/>
    <m/>
    <s v="Real Estate"/>
    <m/>
    <n v="0.37837886649916302"/>
    <x v="25"/>
    <s v="USA"/>
  </r>
  <r>
    <x v="25"/>
    <n v="95328909000"/>
    <m/>
    <n v="720355000"/>
    <m/>
    <n v="863932000"/>
    <m/>
    <m/>
    <n v="1956621000"/>
    <m/>
    <m/>
    <n v="53951138000"/>
    <m/>
    <n v="36712139000"/>
    <m/>
    <s v="Real Estate"/>
    <m/>
    <n v="0.38511023974899372"/>
    <x v="25"/>
    <s v="USA"/>
  </r>
  <r>
    <x v="13"/>
    <n v="5443363000"/>
    <m/>
    <m/>
    <n v="432721000"/>
    <n v="122542000"/>
    <m/>
    <m/>
    <m/>
    <m/>
    <m/>
    <n v="2412794000"/>
    <m/>
    <n v="3030569000"/>
    <m/>
    <s v="Real Estate"/>
    <m/>
    <n v="0.55674571032650222"/>
    <x v="26"/>
    <s v="USA"/>
  </r>
  <r>
    <x v="14"/>
    <n v="9924441000"/>
    <m/>
    <m/>
    <n v="735791000"/>
    <n v="180916000"/>
    <m/>
    <m/>
    <m/>
    <m/>
    <m/>
    <n v="5385447000"/>
    <m/>
    <n v="4503083000"/>
    <m/>
    <s v="Real Estate"/>
    <m/>
    <n v="0.45373668904878373"/>
    <x v="26"/>
    <s v="USA"/>
  </r>
  <r>
    <x v="15"/>
    <n v="11012622000"/>
    <m/>
    <m/>
    <n v="865123000"/>
    <n v="216366000"/>
    <m/>
    <m/>
    <m/>
    <m/>
    <m/>
    <n v="5613401000"/>
    <m/>
    <n v="5371523000"/>
    <m/>
    <s v="Real Estate"/>
    <m/>
    <n v="0.48776058962161778"/>
    <x v="26"/>
    <s v="USA"/>
  </r>
  <r>
    <x v="16"/>
    <n v="11865870000"/>
    <m/>
    <m/>
    <n v="929229000"/>
    <n v="233079000"/>
    <m/>
    <m/>
    <m/>
    <m/>
    <m/>
    <n v="6531596000"/>
    <m/>
    <n v="5312537000"/>
    <m/>
    <s v="Real Estate"/>
    <m/>
    <n v="0.44771575956925203"/>
    <x v="26"/>
    <s v="USA"/>
  </r>
  <r>
    <x v="17"/>
    <n v="13152871000"/>
    <m/>
    <m/>
    <n v="988750000"/>
    <n v="219974000"/>
    <m/>
    <m/>
    <m/>
    <m/>
    <m/>
    <n v="6766804000"/>
    <m/>
    <n v="6365818000"/>
    <m/>
    <s v="Real Estate"/>
    <m/>
    <n v="0.48398695615580811"/>
    <x v="26"/>
    <s v="USA"/>
  </r>
  <r>
    <x v="18"/>
    <n v="14058166000"/>
    <m/>
    <m/>
    <n v="1071043000"/>
    <n v="247413000"/>
    <m/>
    <m/>
    <n v="1215768000"/>
    <m/>
    <m/>
    <n v="7371501000"/>
    <m/>
    <n v="6667458000"/>
    <m/>
    <s v="Real Estate"/>
    <m/>
    <n v="0.47427651658118142"/>
    <x v="26"/>
    <s v="USA"/>
  </r>
  <r>
    <x v="19"/>
    <n v="15260483000"/>
    <m/>
    <m/>
    <n v="559472000"/>
    <n v="59415000"/>
    <m/>
    <m/>
    <n v="318295000"/>
    <m/>
    <m/>
    <n v="8088742000"/>
    <m/>
    <n v="7139505000"/>
    <m/>
    <s v="Real Estate"/>
    <m/>
    <n v="0.46784266264704732"/>
    <x v="26"/>
    <s v="USA"/>
  </r>
  <r>
    <x v="20"/>
    <n v="18554796000"/>
    <m/>
    <m/>
    <n v="324637000"/>
    <n v="70020000"/>
    <m/>
    <m/>
    <n v="354365000"/>
    <m/>
    <m/>
    <n v="9774456000"/>
    <m/>
    <n v="8750638000"/>
    <m/>
    <s v="Real Estate"/>
    <m/>
    <n v="0.47161057443045989"/>
    <x v="26"/>
    <s v="USA"/>
  </r>
  <r>
    <x v="21"/>
    <n v="20740285000"/>
    <m/>
    <m/>
    <n v="402030000"/>
    <n v="75925000"/>
    <m/>
    <m/>
    <n v="414341000"/>
    <m/>
    <m/>
    <n v="10985483000"/>
    <m/>
    <n v="9722555000"/>
    <m/>
    <s v="Real Estate"/>
    <m/>
    <n v="0.46877634516594152"/>
    <x v="26"/>
    <s v="USA"/>
  </r>
  <r>
    <x v="22"/>
    <n v="43137502000"/>
    <m/>
    <m/>
    <n v="1612592000"/>
    <n v="323644000"/>
    <m/>
    <m/>
    <n v="2080463000"/>
    <m/>
    <m/>
    <n v="25052574000"/>
    <m/>
    <n v="18008102000"/>
    <m/>
    <s v="Real Estate"/>
    <m/>
    <n v="0.41745815508742262"/>
    <x v="26"/>
    <s v="USA"/>
  </r>
  <r>
    <x v="23"/>
    <n v="49673092000"/>
    <m/>
    <m/>
    <n v="3050203000"/>
    <n v="465223000"/>
    <m/>
    <m/>
    <n v="3343681000"/>
    <m/>
    <m/>
    <n v="28713149000"/>
    <m/>
    <n v="20829803000"/>
    <m/>
    <s v="Real Estate"/>
    <m/>
    <n v="0.419337757351606"/>
    <x v="26"/>
    <s v="USA"/>
  </r>
  <r>
    <x v="24"/>
    <n v="57779357000"/>
    <m/>
    <m/>
    <n v="3549930000"/>
    <n v="730423000"/>
    <m/>
    <m/>
    <n v="4078993000"/>
    <m/>
    <m/>
    <n v="32941467000"/>
    <m/>
    <n v="24672388000"/>
    <m/>
    <s v="Real Estate"/>
    <m/>
    <n v="0.42701042865534139"/>
    <x v="26"/>
    <s v="USA"/>
  </r>
  <r>
    <x v="25"/>
    <n v="68835039000"/>
    <m/>
    <m/>
    <m/>
    <m/>
    <m/>
    <m/>
    <n v="5271142000"/>
    <m/>
    <m/>
    <n v="38840738000"/>
    <m/>
    <n v="29783353000"/>
    <m/>
    <s v="Real Estate"/>
    <m/>
    <n v="0.43267721545127619"/>
    <x v="26"/>
    <s v="USA"/>
  </r>
  <r>
    <x v="13"/>
    <n v="3898565000"/>
    <m/>
    <n v="60547000"/>
    <m/>
    <n v="113336000"/>
    <m/>
    <m/>
    <n v="146289000"/>
    <m/>
    <m/>
    <n v="1286812000"/>
    <m/>
    <n v="2493552000"/>
    <m/>
    <s v="Real Estate"/>
    <m/>
    <n v="0.63960765050730206"/>
    <x v="27"/>
    <s v="USA"/>
  </r>
  <r>
    <x v="14"/>
    <n v="4219294000"/>
    <m/>
    <n v="62502000"/>
    <m/>
    <n v="104977000"/>
    <m/>
    <m/>
    <n v="157150000"/>
    <m/>
    <m/>
    <n v="1448160000"/>
    <m/>
    <n v="2643572000"/>
    <m/>
    <s v="Real Estate"/>
    <m/>
    <n v="0.62654368242649128"/>
    <x v="27"/>
    <s v="USA"/>
  </r>
  <r>
    <x v="15"/>
    <n v="4546870000"/>
    <m/>
    <n v="63444000"/>
    <m/>
    <n v="93941000"/>
    <m/>
    <m/>
    <n v="170828000"/>
    <m/>
    <m/>
    <n v="1604401000"/>
    <m/>
    <n v="2735261000"/>
    <m/>
    <s v="Real Estate"/>
    <m/>
    <n v="0.60157009107363968"/>
    <x v="27"/>
    <s v="USA"/>
  </r>
  <r>
    <x v="16"/>
    <n v="4911709000"/>
    <m/>
    <n v="72122000"/>
    <m/>
    <n v="92553000"/>
    <m/>
    <m/>
    <n v="184792000"/>
    <m/>
    <m/>
    <n v="1663749000"/>
    <m/>
    <n v="2992462000"/>
    <m/>
    <s v="Real Estate"/>
    <m/>
    <n v="0.6092506701842475"/>
    <x v="27"/>
    <s v="USA"/>
  </r>
  <r>
    <x v="17"/>
    <n v="5423279000"/>
    <m/>
    <n v="76922000"/>
    <m/>
    <n v="94994000"/>
    <m/>
    <m/>
    <n v="198344000"/>
    <m/>
    <m/>
    <n v="1976733000"/>
    <m/>
    <n v="3203750000"/>
    <m/>
    <s v="Real Estate"/>
    <m/>
    <n v="0.59074039893577301"/>
    <x v="27"/>
    <s v="USA"/>
  </r>
  <r>
    <x v="18"/>
    <n v="6275755000"/>
    <m/>
    <n v="81544000"/>
    <m/>
    <n v="100125000"/>
    <m/>
    <m/>
    <n v="207389000"/>
    <m/>
    <m/>
    <n v="2266706000"/>
    <m/>
    <n v="3743084000"/>
    <m/>
    <s v="Real Estate"/>
    <m/>
    <n v="0.5964356479817966"/>
    <x v="27"/>
    <s v="USA"/>
  </r>
  <r>
    <x v="19"/>
    <n v="6289644000"/>
    <m/>
    <n v="86145000"/>
    <m/>
    <n v="110154000"/>
    <m/>
    <m/>
    <n v="225405000"/>
    <m/>
    <m/>
    <n v="2345891000"/>
    <m/>
    <n v="3686106000"/>
    <m/>
    <s v="Real Estate"/>
    <m/>
    <n v="0.58605956076369348"/>
    <x v="27"/>
    <s v="USA"/>
  </r>
  <r>
    <x v="20"/>
    <n v="6794992000"/>
    <m/>
    <n v="91093000"/>
    <m/>
    <n v="109623000"/>
    <m/>
    <m/>
    <n v="232227000"/>
    <m/>
    <m/>
    <n v="2535341000"/>
    <m/>
    <n v="4019102000"/>
    <m/>
    <s v="Real Estate"/>
    <m/>
    <n v="0.5914800194025247"/>
    <x v="27"/>
    <s v="USA"/>
  </r>
  <r>
    <x v="21"/>
    <n v="7607624000"/>
    <m/>
    <n v="289524000"/>
    <m/>
    <n v="136289000"/>
    <m/>
    <m/>
    <n v="835494000"/>
    <m/>
    <m/>
    <n v="2464157000"/>
    <m/>
    <n v="4921157000"/>
    <m/>
    <s v="Real Estate"/>
    <m/>
    <n v="0.64687174339846454"/>
    <x v="27"/>
    <s v="USA"/>
  </r>
  <r>
    <x v="22"/>
    <n v="7622320000"/>
    <m/>
    <n v="394725000"/>
    <m/>
    <n v="127698000"/>
    <m/>
    <m/>
    <n v="951224000"/>
    <m/>
    <m/>
    <n v="2580602000"/>
    <m/>
    <n v="4745464000"/>
    <m/>
    <s v="Real Estate"/>
    <m/>
    <n v="0.62257475414309549"/>
    <x v="27"/>
    <s v="USA"/>
  </r>
  <r>
    <x v="23"/>
    <n v="8233991000"/>
    <m/>
    <n v="526408000"/>
    <m/>
    <n v="136989000"/>
    <m/>
    <m/>
    <n v="1074378000"/>
    <m/>
    <m/>
    <n v="2954012000"/>
    <m/>
    <n v="5021606000"/>
    <m/>
    <s v="Real Estate"/>
    <m/>
    <n v="0.60986294495585436"/>
    <x v="27"/>
    <s v="USA"/>
  </r>
  <r>
    <x v="24"/>
    <n v="8436512000"/>
    <m/>
    <n v="406470000"/>
    <m/>
    <n v="167809000"/>
    <m/>
    <m/>
    <n v="1132154000"/>
    <m/>
    <m/>
    <n v="2963509000"/>
    <m/>
    <n v="5210990000"/>
    <m/>
    <s v="Real Estate"/>
    <m/>
    <n v="0.61767114181785077"/>
    <x v="27"/>
    <s v="USA"/>
  </r>
  <r>
    <x v="25"/>
    <n v="8524757000"/>
    <m/>
    <n v="472356000"/>
    <m/>
    <n v="175476000"/>
    <m/>
    <m/>
    <n v="1202452000"/>
    <m/>
    <m/>
    <n v="3171594000"/>
    <m/>
    <n v="5100327000"/>
    <m/>
    <s v="Real Estate"/>
    <m/>
    <n v="0.59829588104388198"/>
    <x v="27"/>
    <s v="USA"/>
  </r>
  <r>
    <x v="13"/>
    <n v="5385172000"/>
    <m/>
    <m/>
    <m/>
    <n v="104282000"/>
    <m/>
    <m/>
    <m/>
    <m/>
    <m/>
    <n v="2563099000"/>
    <m/>
    <n v="2758464000"/>
    <m/>
    <s v="Real Estate"/>
    <m/>
    <n v="0.51223322114873959"/>
    <x v="28"/>
    <s v="USA"/>
  </r>
  <r>
    <x v="14"/>
    <n v="5632141000"/>
    <m/>
    <m/>
    <m/>
    <n v="98129000"/>
    <m/>
    <m/>
    <m/>
    <m/>
    <m/>
    <n v="2691536000"/>
    <m/>
    <n v="2824780000"/>
    <m/>
    <s v="Real Estate"/>
    <m/>
    <n v="0.50154639239323018"/>
    <x v="28"/>
    <s v="USA"/>
  </r>
  <r>
    <x v="15"/>
    <n v="6056907000"/>
    <m/>
    <m/>
    <m/>
    <n v="93263000"/>
    <m/>
    <m/>
    <m/>
    <m/>
    <m/>
    <n v="2815602000"/>
    <m/>
    <n v="3100364000"/>
    <m/>
    <s v="Real Estate"/>
    <m/>
    <n v="0.51187247880807807"/>
    <x v="28"/>
    <s v="USA"/>
  </r>
  <r>
    <x v="16"/>
    <n v="6037612000"/>
    <m/>
    <m/>
    <m/>
    <n v="97312000"/>
    <m/>
    <m/>
    <m/>
    <m/>
    <m/>
    <n v="2816557000"/>
    <m/>
    <n v="3065352000"/>
    <m/>
    <s v="Real Estate"/>
    <m/>
    <n v="0.50770933938782414"/>
    <x v="28"/>
    <s v="USA"/>
  </r>
  <r>
    <x v="17"/>
    <n v="6028152000"/>
    <m/>
    <m/>
    <m/>
    <n v="93145000"/>
    <m/>
    <m/>
    <n v="876447000"/>
    <m/>
    <m/>
    <n v="3014873000"/>
    <m/>
    <n v="2855562000"/>
    <m/>
    <s v="Real Estate"/>
    <m/>
    <n v="0.47370437905348112"/>
    <x v="28"/>
    <s v="USA"/>
  </r>
  <r>
    <x v="18"/>
    <n v="6173748000"/>
    <m/>
    <m/>
    <m/>
    <n v="86750000"/>
    <m/>
    <m/>
    <n v="219521000"/>
    <m/>
    <m/>
    <n v="3405363000"/>
    <m/>
    <n v="2611804000"/>
    <m/>
    <s v="Real Estate"/>
    <m/>
    <n v="0.4230499851953789"/>
    <x v="28"/>
    <s v="USA"/>
  </r>
  <r>
    <x v="19"/>
    <n v="6219586000"/>
    <m/>
    <m/>
    <m/>
    <n v="84263000"/>
    <m/>
    <m/>
    <n v="230683000"/>
    <m/>
    <m/>
    <n v="3311423000"/>
    <m/>
    <n v="2781808000"/>
    <m/>
    <s v="Real Estate"/>
    <m/>
    <n v="0.44726578264212441"/>
    <x v="28"/>
    <s v="USA"/>
  </r>
  <r>
    <x v="20"/>
    <n v="6748504000"/>
    <m/>
    <m/>
    <m/>
    <n v="80706000"/>
    <m/>
    <m/>
    <n v="8696000"/>
    <m/>
    <m/>
    <n v="3628685000"/>
    <m/>
    <n v="3046780000"/>
    <m/>
    <s v="Real Estate"/>
    <m/>
    <n v="0.45147487502415351"/>
    <x v="28"/>
    <s v="USA"/>
  </r>
  <r>
    <x v="21"/>
    <n v="7198952000"/>
    <m/>
    <m/>
    <m/>
    <n v="91526000"/>
    <m/>
    <m/>
    <n v="10800000"/>
    <m/>
    <m/>
    <n v="3444905000"/>
    <m/>
    <n v="3682365000"/>
    <m/>
    <s v="Real Estate"/>
    <m/>
    <n v="0.51151403704316967"/>
    <x v="28"/>
    <s v="USA"/>
  </r>
  <r>
    <x v="22"/>
    <n v="7976784000"/>
    <m/>
    <m/>
    <m/>
    <n v="97297000"/>
    <m/>
    <m/>
    <n v="10532000"/>
    <m/>
    <m/>
    <n v="4197490000"/>
    <m/>
    <n v="3710529000"/>
    <m/>
    <s v="Real Estate"/>
    <m/>
    <n v="0.4651660368389065"/>
    <x v="28"/>
    <s v="USA"/>
  </r>
  <r>
    <x v="23"/>
    <n v="9327935000"/>
    <m/>
    <m/>
    <m/>
    <n v="113424000"/>
    <m/>
    <m/>
    <n v="5188000"/>
    <m/>
    <m/>
    <n v="4986620000"/>
    <m/>
    <n v="4271014000"/>
    <m/>
    <s v="Real Estate"/>
    <m/>
    <n v="0.45787347360375052"/>
    <x v="28"/>
    <s v="USA"/>
  </r>
  <r>
    <x v="24"/>
    <n v="9383737000"/>
    <m/>
    <m/>
    <n v="1115217000"/>
    <n v="133395000"/>
    <m/>
    <m/>
    <n v="3451000"/>
    <m/>
    <m/>
    <n v="4980757000"/>
    <m/>
    <n v="4331966000"/>
    <m/>
    <s v="Real Estate"/>
    <m/>
    <n v="0.46164614374848739"/>
    <x v="28"/>
    <s v="USA"/>
  </r>
  <r>
    <x v="25"/>
    <n v="8852144000"/>
    <m/>
    <m/>
    <n v="878022000"/>
    <n v="129815000"/>
    <m/>
    <m/>
    <n v="7137000"/>
    <m/>
    <m/>
    <n v="4675198000"/>
    <m/>
    <n v="4104955000"/>
    <m/>
    <s v="Real Estate"/>
    <m/>
    <n v="0.46372438134761479"/>
    <x v="28"/>
    <s v="USA"/>
  </r>
  <r>
    <x v="13"/>
    <n v="12994000000"/>
    <m/>
    <n v="362000000"/>
    <m/>
    <n v="373000000"/>
    <m/>
    <m/>
    <n v="5286000000"/>
    <m/>
    <m/>
    <n v="6825000000"/>
    <m/>
    <n v="5977000000"/>
    <m/>
    <s v="Real Estate"/>
    <m/>
    <n v="0.45998152993689401"/>
    <x v="29"/>
    <s v="USA"/>
  </r>
  <r>
    <x v="14"/>
    <n v="12814000000"/>
    <m/>
    <n v="512000000"/>
    <m/>
    <n v="304000000"/>
    <m/>
    <m/>
    <n v="5166000000"/>
    <m/>
    <m/>
    <n v="7228000000"/>
    <m/>
    <n v="5362000000"/>
    <m/>
    <s v="Real Estate"/>
    <m/>
    <n v="0.41844857187451218"/>
    <x v="29"/>
    <s v="USA"/>
  </r>
  <r>
    <x v="15"/>
    <n v="12207000000"/>
    <m/>
    <n v="710000000"/>
    <m/>
    <n v="214000000"/>
    <m/>
    <m/>
    <n v="5354000000"/>
    <m/>
    <m/>
    <n v="7336000000"/>
    <m/>
    <n v="4614000000"/>
    <m/>
    <s v="Real Estate"/>
    <m/>
    <n v="0.37797984762840992"/>
    <x v="29"/>
    <s v="USA"/>
  </r>
  <r>
    <x v="16"/>
    <n v="11784000000"/>
    <m/>
    <n v="650000000"/>
    <m/>
    <n v="234000000"/>
    <m/>
    <m/>
    <n v="5387000000"/>
    <m/>
    <m/>
    <n v="7064000000"/>
    <m/>
    <n v="4559000000"/>
    <m/>
    <s v="Real Estate"/>
    <m/>
    <n v="0.38688051595383571"/>
    <x v="29"/>
    <s v="USA"/>
  </r>
  <r>
    <x v="17"/>
    <n v="11408000000"/>
    <m/>
    <n v="684000000"/>
    <m/>
    <n v="154000000"/>
    <m/>
    <m/>
    <n v="5430000000"/>
    <m/>
    <m/>
    <n v="6994000000"/>
    <m/>
    <n v="4210000000"/>
    <m/>
    <s v="Real Estate"/>
    <m/>
    <n v="0.36903927068723702"/>
    <x v="29"/>
    <s v="USA"/>
  </r>
  <r>
    <x v="18"/>
    <n v="11693000000"/>
    <m/>
    <n v="676000000"/>
    <m/>
    <n v="167000000"/>
    <m/>
    <m/>
    <n v="5387000000"/>
    <m/>
    <m/>
    <n v="6973000000"/>
    <m/>
    <n v="4524000000"/>
    <m/>
    <s v="Real Estate"/>
    <m/>
    <n v="0.38689814418883101"/>
    <x v="29"/>
    <s v="USA"/>
  </r>
  <r>
    <x v="19"/>
    <n v="12090000000"/>
    <m/>
    <n v="530000000"/>
    <m/>
    <n v="176000000"/>
    <m/>
    <m/>
    <m/>
    <m/>
    <m/>
    <n v="7494000000"/>
    <m/>
    <n v="4396000000"/>
    <m/>
    <s v="Real Estate"/>
    <m/>
    <n v="0.36360628618693142"/>
    <x v="29"/>
    <s v="USA"/>
  </r>
  <r>
    <x v="20"/>
    <n v="12305000000"/>
    <m/>
    <n v="799000000"/>
    <m/>
    <n v="222000000"/>
    <m/>
    <m/>
    <m/>
    <m/>
    <m/>
    <n v="7319000000"/>
    <m/>
    <n v="4838000000"/>
    <m/>
    <s v="Real Estate"/>
    <m/>
    <n v="0.39317350670459161"/>
    <x v="29"/>
    <s v="USA"/>
  </r>
  <r>
    <x v="21"/>
    <n v="12890000000"/>
    <m/>
    <n v="-953000000"/>
    <m/>
    <n v="194000000"/>
    <m/>
    <m/>
    <m/>
    <m/>
    <m/>
    <n v="6321000000"/>
    <m/>
    <n v="6456000000"/>
    <m/>
    <s v="Real Estate"/>
    <m/>
    <n v="0.50085337470907676"/>
    <x v="29"/>
    <s v="USA"/>
  </r>
  <r>
    <x v="22"/>
    <n v="12352000000"/>
    <m/>
    <n v="-250000000"/>
    <m/>
    <n v="191000000"/>
    <m/>
    <m/>
    <m/>
    <m/>
    <m/>
    <n v="6441000000"/>
    <m/>
    <n v="5780000000"/>
    <m/>
    <s v="Real Estate"/>
    <m/>
    <n v="0.46794041450777202"/>
    <x v="29"/>
    <s v="USA"/>
  </r>
  <r>
    <x v="23"/>
    <n v="12269000000"/>
    <m/>
    <n v="775000000"/>
    <m/>
    <n v="156000000"/>
    <m/>
    <m/>
    <m/>
    <m/>
    <m/>
    <n v="6710000000"/>
    <m/>
    <n v="5390000000"/>
    <m/>
    <s v="Real Estate"/>
    <m/>
    <n v="0.4393186078735023"/>
    <x v="29"/>
    <s v="USA"/>
  </r>
  <r>
    <x v="24"/>
    <n v="12243000000"/>
    <m/>
    <n v="827000000"/>
    <m/>
    <n v="191000000"/>
    <m/>
    <m/>
    <m/>
    <m/>
    <m/>
    <n v="6633000000"/>
    <m/>
    <n v="5417000000"/>
    <m/>
    <s v="Real Estate"/>
    <m/>
    <n v="0.44245691415502741"/>
    <x v="29"/>
    <s v="USA"/>
  </r>
  <r>
    <x v="25"/>
    <n v="13048000000"/>
    <m/>
    <n v="875000000"/>
    <m/>
    <m/>
    <m/>
    <m/>
    <m/>
    <m/>
    <m/>
    <n v="6609000000"/>
    <m/>
    <n v="6271000000"/>
    <m/>
    <s v="Real Estate"/>
    <m/>
    <n v="0.48061005518087058"/>
    <x v="29"/>
    <s v="U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7392D-2F12-4802-AFAB-75544F7F4C43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P35" firstHeaderRow="1" firstDataRow="2" firstDataCol="1"/>
  <pivotFields count="2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1">
        <item x="4"/>
        <item x="14"/>
        <item x="21"/>
        <item x="13"/>
        <item x="28"/>
        <item x="7"/>
        <item x="0"/>
        <item x="20"/>
        <item x="23"/>
        <item x="27"/>
        <item x="10"/>
        <item x="3"/>
        <item x="9"/>
        <item x="29"/>
        <item x="18"/>
        <item x="17"/>
        <item x="24"/>
        <item x="5"/>
        <item x="25"/>
        <item x="26"/>
        <item x="15"/>
        <item x="1"/>
        <item x="16"/>
        <item x="11"/>
        <item x="8"/>
        <item x="22"/>
        <item x="19"/>
        <item x="12"/>
        <item x="6"/>
        <item x="2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2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t="default"/>
      </items>
    </pivotField>
  </pivotFields>
  <rowFields count="1">
    <field x="18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21"/>
  </colFields>
  <colItems count="15">
    <i>
      <x v="1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 t="grand">
      <x/>
    </i>
  </colItems>
  <dataFields count="1">
    <dataField name="Сумма по полю Total Revenue" fld="8" baseField="18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681ED-F7A4-4F72-A456-DEF6487B9DEA}" name="Таблица1" displayName="Таблица1" ref="A1:T401" totalsRowShown="0" headerRowDxfId="21" dataDxfId="20">
  <autoFilter ref="A1:T401" xr:uid="{BC7681ED-F7A4-4F72-A456-DEF6487B9DEA}"/>
  <tableColumns count="20">
    <tableColumn id="1" xr3:uid="{C8739E24-5D6E-4D2A-AB87-81EF1B5CFE8F}" name="Date" dataDxfId="19"/>
    <tableColumn id="2" xr3:uid="{4DBECA8E-9EDC-4B13-BF77-E05C99DD00FC}" name="Total Assets_x000a_[unit]1" dataDxfId="18"/>
    <tableColumn id="3" xr3:uid="{DEE9A881-E618-4A84-95E7-845A291E5631}" name="Market Cap1_x000a_[unit]1" dataDxfId="17"/>
    <tableColumn id="4" xr3:uid="{1CE43A8D-63B2-42A4-8FE1-4E1D5872E9EE}" name="EBIT (Inverse Method)_x000a_[unit]1" dataDxfId="16"/>
    <tableColumn id="5" xr3:uid="{04893EE8-B764-43E1-B8E2-D233604341FC}" name="EBITDA (Inverse Method)_x000a_[unit]1" dataDxfId="15"/>
    <tableColumn id="6" xr3:uid="{604852A5-C546-4558-9FF5-F7BB8148ED66}" name="Interest Expense_x000a_[unit]1" dataDxfId="14"/>
    <tableColumn id="7" xr3:uid="{680EF49E-C6D2-4D07-B697-9FFD1893FE9B}" name="Cash Flow Operation Index" dataDxfId="13"/>
    <tableColumn id="8" xr3:uid="{33F7A4E8-E6BF-4069-A691-561F29E1DDCF}" name="Net Cash Flow from Operating Activities as %" dataDxfId="12"/>
    <tableColumn id="9" xr3:uid="{93FFABFF-A348-4C66-A8BB-6C666DD5BDCF}" name="Total Revenue_x000a_[unit]1" dataDxfId="11"/>
    <tableColumn id="10" xr3:uid="{24751986-C8CB-476C-9ED0-6F4406E24DC9}" name="Total current assets_x000a_[unit]1" dataDxfId="10"/>
    <tableColumn id="11" xr3:uid="{A82F2C3F-D1E5-46F2-ACCA-B5DD881DA7F6}" name="Total Current Liabilities_x000a_[unit]1" dataDxfId="9"/>
    <tableColumn id="12" xr3:uid="{9F1C186B-B131-417C-B5EF-86991BD67779}" name="Total Shareholders’ Equity_x000a_[unit]1" dataDxfId="8"/>
    <tableColumn id="13" xr3:uid="{CDEA8461-3BA0-4BD3-9C59-D6803DBADE47}" name="Close (D)" dataDxfId="7"/>
    <tableColumn id="14" xr3:uid="{802FA84E-3978-49A2-9FD4-2ECC1D009302}" name="Total Liabilities [unit]1" dataDxfId="6"/>
    <tableColumn id="15" xr3:uid="{279B6D0A-E885-4C76-8BD3-BFFCE2E66374}" name="Total Market Capitalization (Backtesting Unavailable) [unit]1" dataDxfId="5"/>
    <tableColumn id="16" xr3:uid="{7203BCA2-F349-4692-8539-B631092F4564}" name="Industry Name (Support Historical) [industryStandard]Sectors[industryType]Wind Industry (2024)" dataDxfId="4"/>
    <tableColumn id="17" xr3:uid="{B1BAFE5E-3539-4DD3-A307-86FB88F0CDAB}" name="National or regional code to which the listing belongs" dataDxfId="3"/>
    <tableColumn id="18" xr3:uid="{277D6AEA-307E-4B4E-B37F-23283385DC84}" name="Interest Bearing Debt Ratio" dataDxfId="2"/>
    <tableColumn id="19" xr3:uid="{DF17A15F-63C7-456C-AD04-BC92D262F572}" name="English Name of the Company" dataDxfId="1"/>
    <tableColumn id="20" xr3:uid="{96C1B088-A3FB-4917-9A8A-930DBBB35410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B425-FF8A-471A-8DBB-FC009B56E1C1}">
  <dimension ref="A3:P35"/>
  <sheetViews>
    <sheetView workbookViewId="0">
      <selection activeCell="A6" sqref="A6"/>
    </sheetView>
  </sheetViews>
  <sheetFormatPr defaultRowHeight="14.5" x14ac:dyDescent="0.35"/>
  <cols>
    <col min="1" max="1" width="41.1796875" bestFit="1" customWidth="1"/>
    <col min="2" max="2" width="20.08984375" bestFit="1" customWidth="1"/>
    <col min="3" max="9" width="14.26953125" bestFit="1" customWidth="1"/>
    <col min="10" max="12" width="15.7265625" bestFit="1" customWidth="1"/>
    <col min="13" max="15" width="14.26953125" bestFit="1" customWidth="1"/>
    <col min="16" max="16" width="15.7265625" bestFit="1" customWidth="1"/>
    <col min="17" max="25" width="14.26953125" bestFit="1" customWidth="1"/>
    <col min="26" max="34" width="15.7265625" bestFit="1" customWidth="1"/>
    <col min="35" max="43" width="14.26953125" bestFit="1" customWidth="1"/>
    <col min="44" max="44" width="15.7265625" bestFit="1" customWidth="1"/>
  </cols>
  <sheetData>
    <row r="3" spans="1:16" x14ac:dyDescent="0.35">
      <c r="A3" s="13" t="s">
        <v>147</v>
      </c>
      <c r="B3" s="13" t="s">
        <v>148</v>
      </c>
    </row>
    <row r="4" spans="1:16" x14ac:dyDescent="0.35">
      <c r="A4" s="13" t="s">
        <v>145</v>
      </c>
      <c r="B4" t="s">
        <v>149</v>
      </c>
      <c r="C4" t="s">
        <v>150</v>
      </c>
      <c r="D4" t="s">
        <v>151</v>
      </c>
      <c r="E4" t="s">
        <v>152</v>
      </c>
      <c r="F4" t="s">
        <v>153</v>
      </c>
      <c r="G4" t="s">
        <v>154</v>
      </c>
      <c r="H4" t="s">
        <v>155</v>
      </c>
      <c r="I4" t="s">
        <v>156</v>
      </c>
      <c r="J4" t="s">
        <v>157</v>
      </c>
      <c r="K4" t="s">
        <v>158</v>
      </c>
      <c r="L4" t="s">
        <v>159</v>
      </c>
      <c r="M4" t="s">
        <v>160</v>
      </c>
      <c r="N4" t="s">
        <v>161</v>
      </c>
      <c r="O4" t="s">
        <v>162</v>
      </c>
      <c r="P4" t="s">
        <v>146</v>
      </c>
    </row>
    <row r="5" spans="1:16" x14ac:dyDescent="0.35">
      <c r="A5" s="14" t="s">
        <v>40</v>
      </c>
      <c r="B5" s="11"/>
      <c r="C5" s="11">
        <v>30074048000</v>
      </c>
      <c r="D5" s="11">
        <v>35436404000</v>
      </c>
      <c r="E5" s="11">
        <v>38317599000</v>
      </c>
      <c r="F5" s="11">
        <v>43004312000</v>
      </c>
      <c r="G5" s="11">
        <v>46678865000</v>
      </c>
      <c r="H5" s="11">
        <v>51607059000</v>
      </c>
      <c r="I5" s="11">
        <v>56144926000</v>
      </c>
      <c r="J5" s="11">
        <v>60239097000</v>
      </c>
      <c r="K5" s="11">
        <v>80245252000</v>
      </c>
      <c r="L5" s="11">
        <v>73027763000</v>
      </c>
      <c r="M5" s="11">
        <v>54034327000</v>
      </c>
      <c r="N5" s="11">
        <v>43310454000</v>
      </c>
      <c r="O5" s="11">
        <v>43345885000</v>
      </c>
      <c r="P5" s="11">
        <v>655465991000</v>
      </c>
    </row>
    <row r="6" spans="1:16" x14ac:dyDescent="0.35">
      <c r="A6" s="14" t="s">
        <v>123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x14ac:dyDescent="0.35">
      <c r="A7" s="14" t="s">
        <v>130</v>
      </c>
      <c r="B7" s="11">
        <v>16418853000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16418853000</v>
      </c>
    </row>
    <row r="8" spans="1:16" x14ac:dyDescent="0.35">
      <c r="A8" s="14" t="s">
        <v>122</v>
      </c>
      <c r="B8" s="11">
        <v>20239025000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20239025000</v>
      </c>
    </row>
    <row r="9" spans="1:16" x14ac:dyDescent="0.35">
      <c r="A9" s="14" t="s">
        <v>137</v>
      </c>
      <c r="B9" s="11">
        <v>1372455000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1372455000</v>
      </c>
    </row>
    <row r="10" spans="1:16" x14ac:dyDescent="0.35">
      <c r="A10" s="14" t="s">
        <v>42</v>
      </c>
      <c r="B10" s="11"/>
      <c r="C10" s="11">
        <v>12076941011.040001</v>
      </c>
      <c r="D10" s="11">
        <v>21059753648.07</v>
      </c>
      <c r="E10" s="11">
        <v>26885548491.459999</v>
      </c>
      <c r="F10" s="11">
        <v>38334689695.099998</v>
      </c>
      <c r="G10" s="11">
        <v>53820587475.870003</v>
      </c>
      <c r="H10" s="11">
        <v>59635420323.190002</v>
      </c>
      <c r="I10" s="11">
        <v>83798590154.690002</v>
      </c>
      <c r="J10" s="11">
        <v>105209536217.22</v>
      </c>
      <c r="K10" s="11">
        <v>101208520744.92</v>
      </c>
      <c r="L10" s="11">
        <v>43180812902.959999</v>
      </c>
      <c r="M10" s="11">
        <v>31941735559.380001</v>
      </c>
      <c r="N10" s="11">
        <v>35906571404.029999</v>
      </c>
      <c r="O10" s="11">
        <v>23765486138.189999</v>
      </c>
      <c r="P10" s="11">
        <v>636824193766.12</v>
      </c>
    </row>
    <row r="11" spans="1:16" x14ac:dyDescent="0.35">
      <c r="A11" s="14" t="s">
        <v>35</v>
      </c>
      <c r="B11" s="11"/>
      <c r="C11" s="11">
        <v>41890984000</v>
      </c>
      <c r="D11" s="11">
        <v>62681875000</v>
      </c>
      <c r="E11" s="11">
        <v>84548803000</v>
      </c>
      <c r="F11" s="11">
        <v>113222640000</v>
      </c>
      <c r="G11" s="11">
        <v>153086977000</v>
      </c>
      <c r="H11" s="11">
        <v>226899786000</v>
      </c>
      <c r="I11" s="11">
        <v>379079000000</v>
      </c>
      <c r="J11" s="11">
        <v>485908000000</v>
      </c>
      <c r="K11" s="11">
        <v>462856000000</v>
      </c>
      <c r="L11" s="11">
        <v>523064000000</v>
      </c>
      <c r="M11" s="11">
        <v>430371000000</v>
      </c>
      <c r="N11" s="11">
        <v>401015000000</v>
      </c>
      <c r="O11" s="11">
        <v>252756000000</v>
      </c>
      <c r="P11" s="11">
        <v>3617380065000</v>
      </c>
    </row>
    <row r="12" spans="1:16" x14ac:dyDescent="0.35">
      <c r="A12" s="14" t="s">
        <v>129</v>
      </c>
      <c r="B12" s="11">
        <v>20047845000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20047845000</v>
      </c>
    </row>
    <row r="13" spans="1:16" x14ac:dyDescent="0.35">
      <c r="A13" s="14" t="s">
        <v>132</v>
      </c>
      <c r="B13" s="11">
        <v>12211070000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12211070000</v>
      </c>
    </row>
    <row r="14" spans="1:16" x14ac:dyDescent="0.35">
      <c r="A14" s="14" t="s">
        <v>136</v>
      </c>
      <c r="B14" s="11">
        <v>6718126000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6718126000</v>
      </c>
    </row>
    <row r="15" spans="1:16" x14ac:dyDescent="0.35">
      <c r="A15" s="14" t="s">
        <v>44</v>
      </c>
      <c r="B15" s="11"/>
      <c r="C15" s="11">
        <v>32863360359.98</v>
      </c>
      <c r="D15" s="11">
        <v>34835841295.080002</v>
      </c>
      <c r="E15" s="11">
        <v>45636377981.629997</v>
      </c>
      <c r="F15" s="11">
        <v>32733267202.880001</v>
      </c>
      <c r="G15" s="11">
        <v>55329480540.769997</v>
      </c>
      <c r="H15" s="11">
        <v>37332209455.650002</v>
      </c>
      <c r="I15" s="11">
        <v>50311817459.279999</v>
      </c>
      <c r="J15" s="11">
        <v>63084210229.550003</v>
      </c>
      <c r="K15" s="11">
        <v>83656711003.660004</v>
      </c>
      <c r="L15" s="11">
        <v>98934915652.149994</v>
      </c>
      <c r="M15" s="11">
        <v>120035398013.77</v>
      </c>
      <c r="N15" s="11">
        <v>98007723764.240005</v>
      </c>
      <c r="O15" s="11">
        <v>75269121839.020004</v>
      </c>
      <c r="P15" s="11">
        <v>828030434797.66003</v>
      </c>
    </row>
    <row r="16" spans="1:16" x14ac:dyDescent="0.35">
      <c r="A16" s="14" t="s">
        <v>36</v>
      </c>
      <c r="B16" s="11"/>
      <c r="C16" s="11">
        <v>30365056000</v>
      </c>
      <c r="D16" s="11">
        <v>36271284000</v>
      </c>
      <c r="E16" s="11">
        <v>34705410000</v>
      </c>
      <c r="F16" s="11">
        <v>44290924000</v>
      </c>
      <c r="G16" s="11">
        <v>53730339000</v>
      </c>
      <c r="H16" s="11">
        <v>59277855000</v>
      </c>
      <c r="I16" s="11">
        <v>76857682000</v>
      </c>
      <c r="J16" s="11">
        <v>90813970000</v>
      </c>
      <c r="K16" s="11">
        <v>85891778000</v>
      </c>
      <c r="L16" s="11">
        <v>76230335000</v>
      </c>
      <c r="M16" s="11">
        <v>35192599000</v>
      </c>
      <c r="N16" s="11">
        <v>36238835000</v>
      </c>
      <c r="O16" s="11">
        <v>17701425000</v>
      </c>
      <c r="P16" s="11">
        <v>677567492000</v>
      </c>
    </row>
    <row r="17" spans="1:16" x14ac:dyDescent="0.35">
      <c r="A17" s="14" t="s">
        <v>43</v>
      </c>
      <c r="B17" s="11"/>
      <c r="C17" s="11">
        <v>28867585000</v>
      </c>
      <c r="D17" s="11">
        <v>30231362000</v>
      </c>
      <c r="E17" s="11">
        <v>36043771000</v>
      </c>
      <c r="F17" s="11">
        <v>35225439000</v>
      </c>
      <c r="G17" s="11">
        <v>40678130000</v>
      </c>
      <c r="H17" s="11">
        <v>59903948000</v>
      </c>
      <c r="I17" s="11">
        <v>67763934000</v>
      </c>
      <c r="J17" s="11">
        <v>72389410000</v>
      </c>
      <c r="K17" s="11">
        <v>29401026000</v>
      </c>
      <c r="L17" s="11">
        <v>34002019000</v>
      </c>
      <c r="M17" s="11">
        <v>22864193000</v>
      </c>
      <c r="N17" s="11">
        <v>58641088000</v>
      </c>
      <c r="O17" s="11">
        <v>65235900000</v>
      </c>
      <c r="P17" s="11">
        <v>581247805000</v>
      </c>
    </row>
    <row r="18" spans="1:16" x14ac:dyDescent="0.35">
      <c r="A18" s="14" t="s">
        <v>138</v>
      </c>
      <c r="B18" s="11">
        <v>32010000000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32010000000</v>
      </c>
    </row>
    <row r="19" spans="1:16" x14ac:dyDescent="0.35">
      <c r="A19" s="14" t="s">
        <v>127</v>
      </c>
      <c r="B19" s="11">
        <v>3644108263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3644108263</v>
      </c>
    </row>
    <row r="20" spans="1:16" x14ac:dyDescent="0.35">
      <c r="A20" s="14" t="s">
        <v>126</v>
      </c>
      <c r="B20" s="11">
        <v>5743008000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5743008000</v>
      </c>
    </row>
    <row r="21" spans="1:16" x14ac:dyDescent="0.35">
      <c r="A21" s="14" t="s">
        <v>133</v>
      </c>
      <c r="B21" s="11">
        <v>14673051000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14673051000</v>
      </c>
    </row>
    <row r="22" spans="1:16" x14ac:dyDescent="0.35">
      <c r="A22" s="14" t="s">
        <v>39</v>
      </c>
      <c r="B22" s="11"/>
      <c r="C22" s="11">
        <v>5871763000</v>
      </c>
      <c r="D22" s="11">
        <v>7256938000</v>
      </c>
      <c r="E22" s="11">
        <v>9662995000</v>
      </c>
      <c r="F22" s="11">
        <v>11907300000</v>
      </c>
      <c r="G22" s="11">
        <v>14295617000</v>
      </c>
      <c r="H22" s="11">
        <v>15592641000</v>
      </c>
      <c r="I22" s="11">
        <v>19593790000</v>
      </c>
      <c r="J22" s="11">
        <v>26041632000</v>
      </c>
      <c r="K22" s="11">
        <v>35495300000</v>
      </c>
      <c r="L22" s="11">
        <v>39902461000</v>
      </c>
      <c r="M22" s="11">
        <v>31377857000</v>
      </c>
      <c r="N22" s="11">
        <v>22903847000</v>
      </c>
      <c r="O22" s="11">
        <v>25757351000</v>
      </c>
      <c r="P22" s="11">
        <v>265659492000</v>
      </c>
    </row>
    <row r="23" spans="1:16" x14ac:dyDescent="0.35">
      <c r="A23" s="14" t="s">
        <v>134</v>
      </c>
      <c r="B23" s="11">
        <v>11698891000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11698891000</v>
      </c>
    </row>
    <row r="24" spans="1:16" x14ac:dyDescent="0.35">
      <c r="A24" s="14" t="s">
        <v>135</v>
      </c>
      <c r="B24" s="11">
        <v>17077048000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17077048000</v>
      </c>
    </row>
    <row r="25" spans="1:16" x14ac:dyDescent="0.35">
      <c r="A25" s="14" t="s">
        <v>124</v>
      </c>
      <c r="B25" s="11">
        <v>6879220000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6879220000</v>
      </c>
    </row>
    <row r="26" spans="1:16" x14ac:dyDescent="0.35">
      <c r="A26" s="14" t="s">
        <v>37</v>
      </c>
      <c r="B26" s="11"/>
      <c r="C26" s="11">
        <v>28652243000</v>
      </c>
      <c r="D26" s="11">
        <v>41502660000</v>
      </c>
      <c r="E26" s="11">
        <v>56080546000</v>
      </c>
      <c r="F26" s="11">
        <v>57732974000</v>
      </c>
      <c r="G26" s="11">
        <v>59286161000</v>
      </c>
      <c r="H26" s="11">
        <v>70425874000</v>
      </c>
      <c r="I26" s="11">
        <v>85512704000</v>
      </c>
      <c r="J26" s="11">
        <v>111516981000</v>
      </c>
      <c r="K26" s="11">
        <v>135352755000</v>
      </c>
      <c r="L26" s="11">
        <v>107797269000</v>
      </c>
      <c r="M26" s="11">
        <v>63040148000</v>
      </c>
      <c r="N26" s="11">
        <v>59463712000</v>
      </c>
      <c r="O26" s="11">
        <v>59975062000</v>
      </c>
      <c r="P26" s="11">
        <v>936339089000</v>
      </c>
    </row>
    <row r="27" spans="1:16" x14ac:dyDescent="0.35">
      <c r="A27" s="14" t="s">
        <v>125</v>
      </c>
      <c r="B27" s="11">
        <v>16925082000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16925082000</v>
      </c>
    </row>
    <row r="28" spans="1:16" x14ac:dyDescent="0.35">
      <c r="A28" s="14" t="s">
        <v>120</v>
      </c>
      <c r="B28" s="11">
        <v>8692107000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8692107000</v>
      </c>
    </row>
    <row r="29" spans="1:16" x14ac:dyDescent="0.35">
      <c r="A29" s="14" t="s">
        <v>45</v>
      </c>
      <c r="B29" s="11"/>
      <c r="C29" s="11">
        <v>5205625748.5600004</v>
      </c>
      <c r="D29" s="11">
        <v>12256999127.620001</v>
      </c>
      <c r="E29" s="11">
        <v>16744651624.379999</v>
      </c>
      <c r="F29" s="11">
        <v>29626516857.959999</v>
      </c>
      <c r="G29" s="11">
        <v>41455883465.879997</v>
      </c>
      <c r="H29" s="11">
        <v>48662332743.400002</v>
      </c>
      <c r="I29" s="11">
        <v>61969840555.400002</v>
      </c>
      <c r="J29" s="11">
        <v>47241230574.239998</v>
      </c>
      <c r="K29" s="11">
        <v>7229068952.9200001</v>
      </c>
      <c r="L29" s="11">
        <v>9822254688.9200001</v>
      </c>
      <c r="M29" s="11">
        <v>17605696203.040001</v>
      </c>
      <c r="N29" s="11">
        <v>12790698691.299999</v>
      </c>
      <c r="O29" s="11">
        <v>16088233254.76</v>
      </c>
      <c r="P29" s="11">
        <v>326699032488.37994</v>
      </c>
    </row>
    <row r="30" spans="1:16" x14ac:dyDescent="0.35">
      <c r="A30" s="14" t="s">
        <v>131</v>
      </c>
      <c r="B30" s="11">
        <v>14692856000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14692856000</v>
      </c>
    </row>
    <row r="31" spans="1:16" x14ac:dyDescent="0.35">
      <c r="A31" s="14" t="s">
        <v>128</v>
      </c>
      <c r="B31" s="11">
        <v>24811801000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24811801000</v>
      </c>
    </row>
    <row r="32" spans="1:16" x14ac:dyDescent="0.35">
      <c r="A32" s="14" t="s">
        <v>121</v>
      </c>
      <c r="B32" s="11">
        <v>11671236000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11671236000</v>
      </c>
    </row>
    <row r="33" spans="1:16" x14ac:dyDescent="0.35">
      <c r="A33" s="14" t="s">
        <v>41</v>
      </c>
      <c r="B33" s="11"/>
      <c r="C33" s="11">
        <v>5452346274.71</v>
      </c>
      <c r="D33" s="11">
        <v>7444185000.75</v>
      </c>
      <c r="E33" s="11">
        <v>13894125701.530001</v>
      </c>
      <c r="F33" s="11">
        <v>22379969159.299999</v>
      </c>
      <c r="G33" s="11">
        <v>19598020109.650002</v>
      </c>
      <c r="H33" s="11">
        <v>33163130244.669998</v>
      </c>
      <c r="I33" s="11">
        <v>56470090684.379997</v>
      </c>
      <c r="J33" s="11">
        <v>61049371313.199997</v>
      </c>
      <c r="K33" s="11">
        <v>82171244467.279999</v>
      </c>
      <c r="L33" s="11">
        <v>42526483702.699997</v>
      </c>
      <c r="M33" s="11">
        <v>39918575305.160004</v>
      </c>
      <c r="N33" s="11">
        <v>47776551800.040001</v>
      </c>
      <c r="O33" s="11">
        <v>34086664015.360001</v>
      </c>
      <c r="P33" s="11">
        <v>465930757778.72992</v>
      </c>
    </row>
    <row r="34" spans="1:16" x14ac:dyDescent="0.35">
      <c r="A34" s="14" t="s">
        <v>38</v>
      </c>
      <c r="B34" s="11"/>
      <c r="C34" s="11">
        <v>3893836000</v>
      </c>
      <c r="D34" s="11">
        <v>7470608000</v>
      </c>
      <c r="E34" s="11">
        <v>7836633000</v>
      </c>
      <c r="F34" s="11">
        <v>10375501000</v>
      </c>
      <c r="G34" s="11">
        <v>13671828000</v>
      </c>
      <c r="H34" s="11">
        <v>21700673000</v>
      </c>
      <c r="I34" s="11">
        <v>24305871000</v>
      </c>
      <c r="J34" s="11">
        <v>23240705000</v>
      </c>
      <c r="K34" s="11">
        <v>10411604000</v>
      </c>
      <c r="L34" s="11">
        <v>27071241000</v>
      </c>
      <c r="M34" s="11">
        <v>26737240000</v>
      </c>
      <c r="N34" s="11">
        <v>21477083000</v>
      </c>
      <c r="O34" s="11">
        <v>9716264000</v>
      </c>
      <c r="P34" s="11">
        <v>207909087000</v>
      </c>
    </row>
    <row r="35" spans="1:16" x14ac:dyDescent="0.35">
      <c r="A35" s="14" t="s">
        <v>146</v>
      </c>
      <c r="B35" s="11">
        <v>245525782263</v>
      </c>
      <c r="C35" s="11">
        <v>225213788394.29001</v>
      </c>
      <c r="D35" s="11">
        <v>296447910071.52002</v>
      </c>
      <c r="E35" s="11">
        <v>370356460799</v>
      </c>
      <c r="F35" s="11">
        <v>438833532915.23999</v>
      </c>
      <c r="G35" s="11">
        <v>551631888592.17004</v>
      </c>
      <c r="H35" s="11">
        <v>684200928766.91016</v>
      </c>
      <c r="I35" s="11">
        <v>961808245853.75</v>
      </c>
      <c r="J35" s="11">
        <v>1146734143334.21</v>
      </c>
      <c r="K35" s="11">
        <v>1113919260168.78</v>
      </c>
      <c r="L35" s="11">
        <v>1075559554946.73</v>
      </c>
      <c r="M35" s="11">
        <v>873118769081.3501</v>
      </c>
      <c r="N35" s="11">
        <v>837531564659.61011</v>
      </c>
      <c r="O35" s="11">
        <v>623697392247.32996</v>
      </c>
      <c r="P35" s="11">
        <v>9444579222093.8906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01"/>
  <sheetViews>
    <sheetView tabSelected="1" topLeftCell="L1" zoomScale="106" zoomScaleNormal="106" workbookViewId="0">
      <selection activeCell="P10" sqref="P10"/>
    </sheetView>
  </sheetViews>
  <sheetFormatPr defaultColWidth="8.81640625" defaultRowHeight="14.5" x14ac:dyDescent="0.35"/>
  <cols>
    <col min="1" max="1" width="10.1796875" bestFit="1" customWidth="1"/>
    <col min="2" max="2" width="16.453125" bestFit="1" customWidth="1"/>
    <col min="3" max="3" width="14.81640625" bestFit="1" customWidth="1"/>
    <col min="4" max="4" width="20.54296875" bestFit="1" customWidth="1"/>
    <col min="5" max="5" width="23.26953125" bestFit="1" customWidth="1"/>
    <col min="6" max="6" width="15.36328125" bestFit="1" customWidth="1"/>
    <col min="7" max="7" width="16.7265625" customWidth="1"/>
    <col min="8" max="8" width="23.54296875" customWidth="1"/>
    <col min="9" max="9" width="14.81640625" bestFit="1" customWidth="1"/>
    <col min="10" max="10" width="18.36328125" bestFit="1" customWidth="1"/>
    <col min="11" max="11" width="21.6328125" bestFit="1" customWidth="1"/>
    <col min="12" max="12" width="24.54296875" bestFit="1" customWidth="1"/>
    <col min="13" max="13" width="8.453125" bestFit="1" customWidth="1"/>
    <col min="14" max="14" width="20.81640625" bestFit="1" customWidth="1"/>
    <col min="15" max="15" width="36.90625" bestFit="1" customWidth="1"/>
    <col min="16" max="16" width="37.81640625" bestFit="1" customWidth="1"/>
    <col min="17" max="17" width="26.26953125" bestFit="1" customWidth="1"/>
    <col min="18" max="18" width="19.90625" bestFit="1" customWidth="1"/>
    <col min="19" max="19" width="41.7265625" bestFit="1" customWidth="1"/>
    <col min="20" max="20" width="8" bestFit="1" customWidth="1"/>
  </cols>
  <sheetData>
    <row r="1" spans="1:20" ht="43.5" x14ac:dyDescent="0.35">
      <c r="A1" s="5" t="s">
        <v>2</v>
      </c>
      <c r="B1" s="5" t="s">
        <v>3</v>
      </c>
      <c r="C1" s="5" t="s">
        <v>4</v>
      </c>
      <c r="D1" s="5" t="s">
        <v>5</v>
      </c>
      <c r="E1" s="5" t="s">
        <v>49</v>
      </c>
      <c r="F1" s="5" t="s">
        <v>6</v>
      </c>
      <c r="G1" s="5" t="s">
        <v>54</v>
      </c>
      <c r="H1" s="5" t="s">
        <v>55</v>
      </c>
      <c r="I1" s="5" t="s">
        <v>7</v>
      </c>
      <c r="J1" s="5" t="s">
        <v>8</v>
      </c>
      <c r="K1" s="5" t="s">
        <v>9</v>
      </c>
      <c r="L1" s="5" t="s">
        <v>10</v>
      </c>
      <c r="M1" s="4" t="s">
        <v>47</v>
      </c>
      <c r="N1" s="5" t="s">
        <v>144</v>
      </c>
      <c r="O1" s="5" t="s">
        <v>142</v>
      </c>
      <c r="P1" s="5" t="s">
        <v>143</v>
      </c>
      <c r="Q1" s="5" t="s">
        <v>11</v>
      </c>
      <c r="R1" s="5" t="s">
        <v>24</v>
      </c>
      <c r="S1" s="5" t="s">
        <v>31</v>
      </c>
      <c r="T1" s="5" t="s">
        <v>139</v>
      </c>
    </row>
    <row r="2" spans="1:20" x14ac:dyDescent="0.35">
      <c r="A2" s="9">
        <v>41274</v>
      </c>
      <c r="B2" s="10">
        <v>361956330000</v>
      </c>
      <c r="C2" s="10">
        <v>74012420225.23999</v>
      </c>
      <c r="D2" s="10">
        <v>11689251000</v>
      </c>
      <c r="E2" s="10">
        <v>12116122000</v>
      </c>
      <c r="F2" s="10"/>
      <c r="G2" s="10"/>
      <c r="H2" s="10"/>
      <c r="I2" s="10">
        <v>41890984000</v>
      </c>
      <c r="J2" s="10"/>
      <c r="K2" s="10"/>
      <c r="L2" s="10"/>
      <c r="M2" s="10">
        <v>4.0599999999999996</v>
      </c>
      <c r="N2" s="10"/>
      <c r="O2" s="10">
        <v>74012420225.23999</v>
      </c>
      <c r="P2" s="10" t="s">
        <v>26</v>
      </c>
      <c r="Q2" s="10" t="s">
        <v>22</v>
      </c>
      <c r="R2" s="10"/>
      <c r="S2" s="10" t="s">
        <v>35</v>
      </c>
      <c r="T2" s="10" t="s">
        <v>140</v>
      </c>
    </row>
    <row r="3" spans="1:20" x14ac:dyDescent="0.35">
      <c r="A3" s="9">
        <v>41639</v>
      </c>
      <c r="B3" s="10">
        <v>206239430000</v>
      </c>
      <c r="C3" s="10">
        <v>86381259948.360001</v>
      </c>
      <c r="D3" s="10">
        <v>13473153000</v>
      </c>
      <c r="E3" s="10">
        <v>14063922000</v>
      </c>
      <c r="F3" s="10"/>
      <c r="G3" s="10"/>
      <c r="H3" s="10"/>
      <c r="I3" s="10">
        <v>62681875000</v>
      </c>
      <c r="J3" s="10">
        <v>146213680000</v>
      </c>
      <c r="K3" s="10">
        <v>114904280000</v>
      </c>
      <c r="L3" s="10">
        <v>46011170000</v>
      </c>
      <c r="M3" s="10">
        <v>4.68</v>
      </c>
      <c r="N3" s="10">
        <v>160228260000</v>
      </c>
      <c r="O3" s="10">
        <v>86381259948.360001</v>
      </c>
      <c r="P3" s="10" t="s">
        <v>26</v>
      </c>
      <c r="Q3" s="10" t="s">
        <v>22</v>
      </c>
      <c r="R3" s="10"/>
      <c r="S3" s="10" t="s">
        <v>35</v>
      </c>
      <c r="T3" s="10" t="s">
        <v>140</v>
      </c>
    </row>
    <row r="4" spans="1:20" x14ac:dyDescent="0.35">
      <c r="A4" s="9">
        <v>42004</v>
      </c>
      <c r="B4" s="10">
        <v>268032210000</v>
      </c>
      <c r="C4" s="10">
        <v>63090641324.200005</v>
      </c>
      <c r="D4" s="10">
        <v>16114378000</v>
      </c>
      <c r="E4" s="10">
        <v>16903690000</v>
      </c>
      <c r="F4" s="10"/>
      <c r="G4" s="10"/>
      <c r="H4" s="10"/>
      <c r="I4" s="10">
        <v>84548803000</v>
      </c>
      <c r="J4" s="10">
        <v>192617050000</v>
      </c>
      <c r="K4" s="10">
        <v>156623020000</v>
      </c>
      <c r="L4" s="10">
        <v>62442430000</v>
      </c>
      <c r="M4" s="10">
        <v>3.1</v>
      </c>
      <c r="N4" s="10">
        <v>205589780000</v>
      </c>
      <c r="O4" s="10">
        <v>63090641324.200005</v>
      </c>
      <c r="P4" s="10" t="s">
        <v>26</v>
      </c>
      <c r="Q4" s="10" t="s">
        <v>22</v>
      </c>
      <c r="R4" s="10"/>
      <c r="S4" s="10" t="s">
        <v>35</v>
      </c>
      <c r="T4" s="10" t="s">
        <v>140</v>
      </c>
    </row>
    <row r="5" spans="1:20" x14ac:dyDescent="0.35">
      <c r="A5" s="9">
        <v>42369</v>
      </c>
      <c r="B5" s="10">
        <v>361956330000</v>
      </c>
      <c r="C5" s="10">
        <v>71829902906.76001</v>
      </c>
      <c r="D5" s="10">
        <v>14612030000</v>
      </c>
      <c r="E5" s="10">
        <v>15276323000</v>
      </c>
      <c r="F5" s="10"/>
      <c r="G5" s="10"/>
      <c r="H5" s="10"/>
      <c r="I5" s="10">
        <v>113222640000</v>
      </c>
      <c r="J5" s="10">
        <v>272016100000</v>
      </c>
      <c r="K5" s="10">
        <v>201594930000</v>
      </c>
      <c r="L5" s="10">
        <v>89340410000</v>
      </c>
      <c r="M5" s="10">
        <v>3.18</v>
      </c>
      <c r="N5" s="10">
        <v>272615920000</v>
      </c>
      <c r="O5" s="10">
        <v>71829902906.759995</v>
      </c>
      <c r="P5" s="10" t="s">
        <v>26</v>
      </c>
      <c r="Q5" s="10" t="s">
        <v>22</v>
      </c>
      <c r="R5" s="10"/>
      <c r="S5" s="10" t="s">
        <v>35</v>
      </c>
      <c r="T5" s="10" t="s">
        <v>140</v>
      </c>
    </row>
    <row r="6" spans="1:20" x14ac:dyDescent="0.35">
      <c r="A6" s="9">
        <v>42735</v>
      </c>
      <c r="B6" s="10">
        <v>591571601000</v>
      </c>
      <c r="C6" s="10">
        <v>93773263673.87999</v>
      </c>
      <c r="D6" s="10">
        <v>21000741000</v>
      </c>
      <c r="E6" s="10">
        <v>21777997000</v>
      </c>
      <c r="F6" s="10"/>
      <c r="G6" s="10"/>
      <c r="H6" s="10">
        <v>85.501709080671276</v>
      </c>
      <c r="I6" s="10">
        <v>153086977000</v>
      </c>
      <c r="J6" s="10"/>
      <c r="K6" s="10"/>
      <c r="L6" s="10">
        <v>81615170000</v>
      </c>
      <c r="M6" s="10">
        <v>4.34</v>
      </c>
      <c r="N6" s="10">
        <v>509956431000</v>
      </c>
      <c r="O6" s="10">
        <v>93773263673.87999</v>
      </c>
      <c r="P6" s="10" t="s">
        <v>26</v>
      </c>
      <c r="Q6" s="10" t="s">
        <v>22</v>
      </c>
      <c r="R6" s="10"/>
      <c r="S6" s="10" t="s">
        <v>35</v>
      </c>
      <c r="T6" s="10" t="s">
        <v>140</v>
      </c>
    </row>
    <row r="7" spans="1:20" x14ac:dyDescent="0.35">
      <c r="A7" s="9">
        <v>43100</v>
      </c>
      <c r="B7" s="10">
        <v>1049669258000</v>
      </c>
      <c r="C7" s="10">
        <v>317070342851.79999</v>
      </c>
      <c r="D7" s="10">
        <v>44901996000</v>
      </c>
      <c r="E7" s="10">
        <v>45726498000</v>
      </c>
      <c r="F7" s="10"/>
      <c r="G7" s="10"/>
      <c r="H7" s="10">
        <v>45.85549738522942</v>
      </c>
      <c r="I7" s="10">
        <v>226899786000</v>
      </c>
      <c r="J7" s="10"/>
      <c r="K7" s="10"/>
      <c r="L7" s="10">
        <v>116611929000</v>
      </c>
      <c r="M7" s="10">
        <v>14.9</v>
      </c>
      <c r="N7" s="10">
        <v>933057329000</v>
      </c>
      <c r="O7" s="10">
        <v>317070342851.79999</v>
      </c>
      <c r="P7" s="10" t="s">
        <v>26</v>
      </c>
      <c r="Q7" s="10" t="s">
        <v>22</v>
      </c>
      <c r="R7" s="10"/>
      <c r="S7" s="10" t="s">
        <v>35</v>
      </c>
      <c r="T7" s="10" t="s">
        <v>140</v>
      </c>
    </row>
    <row r="8" spans="1:20" x14ac:dyDescent="0.35">
      <c r="A8" s="9">
        <v>43465</v>
      </c>
      <c r="B8" s="10">
        <v>1629694000000</v>
      </c>
      <c r="C8" s="10">
        <v>206285545467.42999</v>
      </c>
      <c r="D8" s="10">
        <v>77118000000</v>
      </c>
      <c r="E8" s="10">
        <v>78162000000</v>
      </c>
      <c r="F8" s="10"/>
      <c r="G8" s="10"/>
      <c r="H8" s="10">
        <v>32.306694229415903</v>
      </c>
      <c r="I8" s="10">
        <v>379079000000</v>
      </c>
      <c r="J8" s="10">
        <v>1399750000000</v>
      </c>
      <c r="K8" s="10">
        <v>1219406000000</v>
      </c>
      <c r="L8" s="10">
        <v>173408000000</v>
      </c>
      <c r="M8" s="10">
        <v>9.5299999999999994</v>
      </c>
      <c r="N8" s="10">
        <v>1456286000000</v>
      </c>
      <c r="O8" s="10">
        <v>206285545467.42999</v>
      </c>
      <c r="P8" s="10" t="s">
        <v>26</v>
      </c>
      <c r="Q8" s="10" t="s">
        <v>22</v>
      </c>
      <c r="R8" s="10">
        <v>20.155624307385313</v>
      </c>
      <c r="S8" s="10" t="s">
        <v>35</v>
      </c>
      <c r="T8" s="10" t="s">
        <v>140</v>
      </c>
    </row>
    <row r="9" spans="1:20" x14ac:dyDescent="0.35">
      <c r="A9" s="9">
        <v>43830</v>
      </c>
      <c r="B9" s="10">
        <v>1907152000000</v>
      </c>
      <c r="C9" s="10">
        <v>272621381710.08002</v>
      </c>
      <c r="D9" s="10">
        <v>96568000000</v>
      </c>
      <c r="E9" s="10">
        <v>98116000000</v>
      </c>
      <c r="F9" s="10"/>
      <c r="G9" s="10"/>
      <c r="H9" s="10">
        <v>70.401305683563749</v>
      </c>
      <c r="I9" s="10">
        <v>485908000000</v>
      </c>
      <c r="J9" s="10">
        <v>1631517000000</v>
      </c>
      <c r="K9" s="10">
        <v>1398752000000</v>
      </c>
      <c r="L9" s="10">
        <v>218608000000</v>
      </c>
      <c r="M9" s="10">
        <v>12.48</v>
      </c>
      <c r="N9" s="10">
        <v>1688544000000</v>
      </c>
      <c r="O9" s="10">
        <v>272621381710.08002</v>
      </c>
      <c r="P9" s="10" t="s">
        <v>26</v>
      </c>
      <c r="Q9" s="10" t="s">
        <v>22</v>
      </c>
      <c r="R9" s="10">
        <v>19.413974344991907</v>
      </c>
      <c r="S9" s="10" t="s">
        <v>35</v>
      </c>
      <c r="T9" s="10" t="s">
        <v>140</v>
      </c>
    </row>
    <row r="10" spans="1:20" x14ac:dyDescent="0.35">
      <c r="A10" s="9">
        <v>44196</v>
      </c>
      <c r="B10" s="10">
        <v>2015809000000</v>
      </c>
      <c r="C10" s="10">
        <v>236219581542.72</v>
      </c>
      <c r="D10" s="10">
        <v>81427000000</v>
      </c>
      <c r="E10" s="10">
        <v>83494000000</v>
      </c>
      <c r="F10" s="10"/>
      <c r="G10" s="10"/>
      <c r="H10" s="10">
        <v>26.481318250820234</v>
      </c>
      <c r="I10" s="10">
        <v>462856000000</v>
      </c>
      <c r="J10" s="10">
        <v>1742156000000</v>
      </c>
      <c r="K10" s="10">
        <v>1492959000000</v>
      </c>
      <c r="L10" s="10">
        <v>257003000000</v>
      </c>
      <c r="M10" s="10">
        <v>10.72</v>
      </c>
      <c r="N10" s="10">
        <v>1758806000000</v>
      </c>
      <c r="O10" s="10">
        <v>236219581542.72</v>
      </c>
      <c r="P10" s="10" t="s">
        <v>26</v>
      </c>
      <c r="Q10" s="10" t="s">
        <v>22</v>
      </c>
      <c r="R10" s="10">
        <v>16.218401644203396</v>
      </c>
      <c r="S10" s="10" t="s">
        <v>35</v>
      </c>
      <c r="T10" s="10" t="s">
        <v>140</v>
      </c>
    </row>
    <row r="11" spans="1:20" x14ac:dyDescent="0.35">
      <c r="A11" s="9">
        <v>44561</v>
      </c>
      <c r="B11" s="10">
        <v>1948365000000</v>
      </c>
      <c r="C11" s="10">
        <v>160186865346.32001</v>
      </c>
      <c r="D11" s="10">
        <v>66811000000</v>
      </c>
      <c r="E11" s="10">
        <v>69198000000</v>
      </c>
      <c r="F11" s="10"/>
      <c r="G11" s="10"/>
      <c r="H11" s="10">
        <v>-54.029167288835801</v>
      </c>
      <c r="I11" s="10">
        <v>523064000000</v>
      </c>
      <c r="J11" s="10">
        <v>1713937000000</v>
      </c>
      <c r="K11" s="10">
        <v>1378905000000</v>
      </c>
      <c r="L11" s="10">
        <v>300627000000</v>
      </c>
      <c r="M11" s="10">
        <v>6.92</v>
      </c>
      <c r="N11" s="10">
        <v>1647738000000</v>
      </c>
      <c r="O11" s="10">
        <v>160186865346.32001</v>
      </c>
      <c r="P11" s="10" t="s">
        <v>26</v>
      </c>
      <c r="Q11" s="10" t="s">
        <v>22</v>
      </c>
      <c r="R11" s="10">
        <v>16.343344291239063</v>
      </c>
      <c r="S11" s="10" t="s">
        <v>35</v>
      </c>
      <c r="T11" s="10" t="s">
        <v>140</v>
      </c>
    </row>
    <row r="12" spans="1:20" x14ac:dyDescent="0.35">
      <c r="A12" s="9">
        <v>44926</v>
      </c>
      <c r="B12" s="10">
        <v>1744467000000</v>
      </c>
      <c r="C12" s="10">
        <v>73793038727.399994</v>
      </c>
      <c r="D12" s="10">
        <v>3589000000</v>
      </c>
      <c r="E12" s="10">
        <v>5855000000</v>
      </c>
      <c r="F12" s="10"/>
      <c r="G12" s="10"/>
      <c r="H12" s="10">
        <v>-190.88473286533412</v>
      </c>
      <c r="I12" s="10">
        <v>430371000000</v>
      </c>
      <c r="J12" s="10">
        <v>1537082000000</v>
      </c>
      <c r="K12" s="10">
        <v>1231209000000</v>
      </c>
      <c r="L12" s="10">
        <v>309573000000</v>
      </c>
      <c r="M12" s="10">
        <v>2.67</v>
      </c>
      <c r="N12" s="10">
        <v>1434894000000</v>
      </c>
      <c r="O12" s="10">
        <v>73793038727.399994</v>
      </c>
      <c r="P12" s="10" t="s">
        <v>26</v>
      </c>
      <c r="Q12" s="10" t="s">
        <v>22</v>
      </c>
      <c r="R12" s="10">
        <v>15.570830517286943</v>
      </c>
      <c r="S12" s="10" t="s">
        <v>35</v>
      </c>
      <c r="T12" s="10" t="s">
        <v>140</v>
      </c>
    </row>
    <row r="13" spans="1:20" x14ac:dyDescent="0.35">
      <c r="A13" s="9">
        <v>45291</v>
      </c>
      <c r="B13" s="10">
        <v>1292992000000</v>
      </c>
      <c r="C13" s="10">
        <v>21831036197.880001</v>
      </c>
      <c r="D13" s="10">
        <v>-163408000000</v>
      </c>
      <c r="E13" s="10">
        <v>-161032000000</v>
      </c>
      <c r="F13" s="10"/>
      <c r="G13" s="10"/>
      <c r="H13" s="10">
        <v>62.904238618524332</v>
      </c>
      <c r="I13" s="10">
        <v>401015000000</v>
      </c>
      <c r="J13" s="10">
        <v>1156187000000</v>
      </c>
      <c r="K13" s="10">
        <v>1126245000000</v>
      </c>
      <c r="L13" s="10">
        <v>88609000000</v>
      </c>
      <c r="M13" s="10">
        <v>0.78</v>
      </c>
      <c r="N13" s="10">
        <v>1204383000000</v>
      </c>
      <c r="O13" s="10">
        <v>21831036197.880001</v>
      </c>
      <c r="P13" s="10" t="s">
        <v>26</v>
      </c>
      <c r="Q13" s="10" t="s">
        <v>22</v>
      </c>
      <c r="R13" s="10">
        <v>19.44103289115478</v>
      </c>
      <c r="S13" s="10" t="s">
        <v>35</v>
      </c>
      <c r="T13" s="10" t="s">
        <v>140</v>
      </c>
    </row>
    <row r="14" spans="1:20" x14ac:dyDescent="0.35">
      <c r="A14" s="9">
        <v>45657</v>
      </c>
      <c r="B14" s="10">
        <v>1035843000000</v>
      </c>
      <c r="C14" s="10">
        <v>13574426353.809999</v>
      </c>
      <c r="D14" s="10">
        <v>-17681000000</v>
      </c>
      <c r="E14" s="10">
        <v>-16072000000</v>
      </c>
      <c r="F14" s="10"/>
      <c r="G14" s="10"/>
      <c r="H14" s="10">
        <v>433.28929986789956</v>
      </c>
      <c r="I14" s="10">
        <v>252756000000</v>
      </c>
      <c r="J14" s="10">
        <v>916885000000</v>
      </c>
      <c r="K14" s="10">
        <v>942750000000</v>
      </c>
      <c r="L14" s="10">
        <v>51254000000</v>
      </c>
      <c r="M14" s="10">
        <v>0.48499999999999999</v>
      </c>
      <c r="N14" s="10">
        <v>984589000000</v>
      </c>
      <c r="O14" s="10">
        <v>13574426353.809999</v>
      </c>
      <c r="P14" s="10" t="s">
        <v>26</v>
      </c>
      <c r="Q14" s="10" t="s">
        <v>22</v>
      </c>
      <c r="R14" s="10">
        <v>24.696020535930639</v>
      </c>
      <c r="S14" s="10" t="s">
        <v>35</v>
      </c>
      <c r="T14" s="10" t="s">
        <v>140</v>
      </c>
    </row>
    <row r="15" spans="1:20" x14ac:dyDescent="0.35">
      <c r="A15" s="9">
        <v>41274</v>
      </c>
      <c r="B15" s="10">
        <v>176667859000</v>
      </c>
      <c r="C15" s="10">
        <v>50768994803.68</v>
      </c>
      <c r="D15" s="10">
        <v>10187552000</v>
      </c>
      <c r="E15" s="10">
        <v>10576951000</v>
      </c>
      <c r="F15" s="10"/>
      <c r="G15" s="10"/>
      <c r="H15" s="10"/>
      <c r="I15" s="10">
        <v>28652243000</v>
      </c>
      <c r="J15" s="10"/>
      <c r="K15" s="10"/>
      <c r="L15" s="10"/>
      <c r="M15" s="10">
        <v>14.62</v>
      </c>
      <c r="N15" s="10"/>
      <c r="O15" s="10">
        <v>50768994803.680008</v>
      </c>
      <c r="P15" s="10" t="s">
        <v>26</v>
      </c>
      <c r="Q15" s="10" t="s">
        <v>22</v>
      </c>
      <c r="R15" s="10"/>
      <c r="S15" s="10" t="s">
        <v>37</v>
      </c>
      <c r="T15" s="10" t="s">
        <v>140</v>
      </c>
    </row>
    <row r="16" spans="1:20" x14ac:dyDescent="0.35">
      <c r="A16" s="9">
        <v>41639</v>
      </c>
      <c r="B16" s="10">
        <v>175767858000</v>
      </c>
      <c r="C16" s="10">
        <v>61881223488.480003</v>
      </c>
      <c r="D16" s="10">
        <v>13180189000</v>
      </c>
      <c r="E16" s="10">
        <v>13597511000</v>
      </c>
      <c r="F16" s="10"/>
      <c r="G16" s="10"/>
      <c r="H16" s="10">
        <v>-868.43168551293797</v>
      </c>
      <c r="I16" s="10">
        <v>41502660000</v>
      </c>
      <c r="J16" s="10"/>
      <c r="K16" s="10"/>
      <c r="L16" s="10">
        <v>51851862000</v>
      </c>
      <c r="M16" s="10">
        <v>17.82</v>
      </c>
      <c r="N16" s="10">
        <v>123915996000</v>
      </c>
      <c r="O16" s="10">
        <v>61881223488.480011</v>
      </c>
      <c r="P16" s="10" t="s">
        <v>26</v>
      </c>
      <c r="Q16" s="10" t="s">
        <v>22</v>
      </c>
      <c r="R16" s="10"/>
      <c r="S16" s="10" t="s">
        <v>37</v>
      </c>
      <c r="T16" s="10" t="s">
        <v>140</v>
      </c>
    </row>
    <row r="17" spans="1:20" x14ac:dyDescent="0.35">
      <c r="A17" s="9">
        <v>42004</v>
      </c>
      <c r="B17" s="10">
        <v>220533457000</v>
      </c>
      <c r="C17" s="10">
        <v>60214389185.760002</v>
      </c>
      <c r="D17" s="10">
        <v>15496955000</v>
      </c>
      <c r="E17" s="10">
        <v>16083804000</v>
      </c>
      <c r="F17" s="10"/>
      <c r="G17" s="10"/>
      <c r="H17" s="10">
        <v>-340.11492160799827</v>
      </c>
      <c r="I17" s="10">
        <v>56080546000</v>
      </c>
      <c r="J17" s="10"/>
      <c r="K17" s="10"/>
      <c r="L17" s="10">
        <v>64983084000</v>
      </c>
      <c r="M17" s="10">
        <v>17.34</v>
      </c>
      <c r="N17" s="10">
        <v>155550373000</v>
      </c>
      <c r="O17" s="10">
        <v>60214389185.76001</v>
      </c>
      <c r="P17" s="10" t="s">
        <v>26</v>
      </c>
      <c r="Q17" s="10" t="s">
        <v>22</v>
      </c>
      <c r="R17" s="10"/>
      <c r="S17" s="10" t="s">
        <v>37</v>
      </c>
      <c r="T17" s="10" t="s">
        <v>140</v>
      </c>
    </row>
    <row r="18" spans="1:20" x14ac:dyDescent="0.35">
      <c r="A18" s="9">
        <v>42369</v>
      </c>
      <c r="B18" s="10">
        <v>244254691000</v>
      </c>
      <c r="C18" s="10">
        <v>47852034773.919998</v>
      </c>
      <c r="D18" s="10">
        <v>13942030000</v>
      </c>
      <c r="E18" s="10">
        <v>14446059000</v>
      </c>
      <c r="F18" s="10"/>
      <c r="G18" s="10"/>
      <c r="H18" s="10">
        <v>110.78976571839532</v>
      </c>
      <c r="I18" s="10">
        <v>57732974000</v>
      </c>
      <c r="J18" s="10"/>
      <c r="K18" s="10"/>
      <c r="L18" s="10">
        <v>74749320000</v>
      </c>
      <c r="M18" s="10">
        <v>13.78</v>
      </c>
      <c r="N18" s="10">
        <v>169505371000</v>
      </c>
      <c r="O18" s="10">
        <v>47852034773.920006</v>
      </c>
      <c r="P18" s="10" t="s">
        <v>26</v>
      </c>
      <c r="Q18" s="10" t="s">
        <v>22</v>
      </c>
      <c r="R18" s="10"/>
      <c r="S18" s="10" t="s">
        <v>37</v>
      </c>
      <c r="T18" s="10" t="s">
        <v>140</v>
      </c>
    </row>
    <row r="19" spans="1:20" x14ac:dyDescent="0.35">
      <c r="A19" s="9">
        <v>42735</v>
      </c>
      <c r="B19" s="10">
        <v>261903005000</v>
      </c>
      <c r="C19" s="10">
        <v>34469728044.959999</v>
      </c>
      <c r="D19" s="10">
        <v>13508122000</v>
      </c>
      <c r="E19" s="10">
        <v>14022451000</v>
      </c>
      <c r="F19" s="10"/>
      <c r="G19" s="10"/>
      <c r="H19" s="10">
        <v>106.21836183198421</v>
      </c>
      <c r="I19" s="10">
        <v>59286161000</v>
      </c>
      <c r="J19" s="10">
        <v>189190340000</v>
      </c>
      <c r="K19" s="10">
        <v>118608923000</v>
      </c>
      <c r="L19" s="10">
        <v>88216993000</v>
      </c>
      <c r="M19" s="10">
        <v>10.14</v>
      </c>
      <c r="N19" s="10">
        <v>173686012000</v>
      </c>
      <c r="O19" s="10">
        <v>34469728044.960007</v>
      </c>
      <c r="P19" s="10" t="s">
        <v>26</v>
      </c>
      <c r="Q19" s="10" t="s">
        <v>22</v>
      </c>
      <c r="R19" s="10">
        <v>25.625873212107663</v>
      </c>
      <c r="S19" s="10" t="s">
        <v>37</v>
      </c>
      <c r="T19" s="10" t="s">
        <v>140</v>
      </c>
    </row>
    <row r="20" spans="1:20" x14ac:dyDescent="0.35">
      <c r="A20" s="9">
        <v>43100</v>
      </c>
      <c r="B20" s="10">
        <v>307558673000</v>
      </c>
      <c r="C20" s="10">
        <v>57579381888</v>
      </c>
      <c r="D20" s="10">
        <v>18841808000</v>
      </c>
      <c r="E20" s="10">
        <v>19507152000</v>
      </c>
      <c r="F20" s="10"/>
      <c r="G20" s="10"/>
      <c r="H20" s="10">
        <v>124.74399913499087</v>
      </c>
      <c r="I20" s="10">
        <v>70425874000</v>
      </c>
      <c r="J20" s="10">
        <v>222531472000</v>
      </c>
      <c r="K20" s="10">
        <v>135477127000</v>
      </c>
      <c r="L20" s="10">
        <v>96746797000</v>
      </c>
      <c r="M20" s="10">
        <v>17</v>
      </c>
      <c r="N20" s="10">
        <v>210811876000</v>
      </c>
      <c r="O20" s="10">
        <v>57579381888</v>
      </c>
      <c r="P20" s="10" t="s">
        <v>26</v>
      </c>
      <c r="Q20" s="10" t="s">
        <v>22</v>
      </c>
      <c r="R20" s="10">
        <v>28.493832134592413</v>
      </c>
      <c r="S20" s="10" t="s">
        <v>37</v>
      </c>
      <c r="T20" s="10" t="s">
        <v>140</v>
      </c>
    </row>
    <row r="21" spans="1:20" x14ac:dyDescent="0.35">
      <c r="A21" s="9">
        <v>43465</v>
      </c>
      <c r="B21" s="10">
        <v>377596851000</v>
      </c>
      <c r="C21" s="10">
        <v>69001213397.599991</v>
      </c>
      <c r="D21" s="10">
        <v>22975232000</v>
      </c>
      <c r="E21" s="10">
        <v>23639115000</v>
      </c>
      <c r="F21" s="10"/>
      <c r="G21" s="10"/>
      <c r="H21" s="10">
        <v>14.622676529007581</v>
      </c>
      <c r="I21" s="10">
        <v>85512704000</v>
      </c>
      <c r="J21" s="10">
        <v>288848834000</v>
      </c>
      <c r="K21" s="10">
        <v>187894927000</v>
      </c>
      <c r="L21" s="10">
        <v>105280177000</v>
      </c>
      <c r="M21" s="10">
        <v>20.9</v>
      </c>
      <c r="N21" s="10">
        <v>272316674000</v>
      </c>
      <c r="O21" s="10">
        <v>69001213397.599991</v>
      </c>
      <c r="P21" s="10" t="s">
        <v>26</v>
      </c>
      <c r="Q21" s="10" t="s">
        <v>22</v>
      </c>
      <c r="R21" s="10">
        <v>28.901662106287002</v>
      </c>
      <c r="S21" s="10" t="s">
        <v>37</v>
      </c>
      <c r="T21" s="10" t="s">
        <v>140</v>
      </c>
    </row>
    <row r="22" spans="1:20" x14ac:dyDescent="0.35">
      <c r="A22" s="9">
        <v>43830</v>
      </c>
      <c r="B22" s="10">
        <v>471454067000</v>
      </c>
      <c r="C22" s="10">
        <v>99705102612.800003</v>
      </c>
      <c r="D22" s="10">
        <v>29300272000</v>
      </c>
      <c r="E22" s="10">
        <v>30254961000</v>
      </c>
      <c r="F22" s="10"/>
      <c r="G22" s="10"/>
      <c r="H22" s="10">
        <v>340.67356536969106</v>
      </c>
      <c r="I22" s="10">
        <v>111516981000</v>
      </c>
      <c r="J22" s="10"/>
      <c r="K22" s="10"/>
      <c r="L22" s="10">
        <v>116704186000</v>
      </c>
      <c r="M22" s="10">
        <v>30.2</v>
      </c>
      <c r="N22" s="10">
        <v>354749881000</v>
      </c>
      <c r="O22" s="10">
        <v>99705102612.800003</v>
      </c>
      <c r="P22" s="10" t="s">
        <v>26</v>
      </c>
      <c r="Q22" s="10" t="s">
        <v>22</v>
      </c>
      <c r="R22" s="10"/>
      <c r="S22" s="10" t="s">
        <v>37</v>
      </c>
      <c r="T22" s="10" t="s">
        <v>140</v>
      </c>
    </row>
    <row r="23" spans="1:20" x14ac:dyDescent="0.35">
      <c r="A23" s="9">
        <v>44196</v>
      </c>
      <c r="B23" s="10">
        <v>589753150000</v>
      </c>
      <c r="C23" s="10">
        <v>87381127360.800003</v>
      </c>
      <c r="D23" s="10">
        <v>30276127000</v>
      </c>
      <c r="E23" s="10">
        <v>31260799000</v>
      </c>
      <c r="F23" s="10"/>
      <c r="G23" s="10"/>
      <c r="H23" s="10">
        <v>76.907272931654674</v>
      </c>
      <c r="I23" s="10">
        <v>135352755000</v>
      </c>
      <c r="J23" s="10"/>
      <c r="K23" s="10"/>
      <c r="L23" s="10">
        <v>152494752000</v>
      </c>
      <c r="M23" s="10">
        <v>24.7</v>
      </c>
      <c r="N23" s="10">
        <v>437258398000</v>
      </c>
      <c r="O23" s="10">
        <v>87381127360.800003</v>
      </c>
      <c r="P23" s="10" t="s">
        <v>26</v>
      </c>
      <c r="Q23" s="10" t="s">
        <v>22</v>
      </c>
      <c r="R23" s="10"/>
      <c r="S23" s="10" t="s">
        <v>37</v>
      </c>
      <c r="T23" s="10" t="s">
        <v>140</v>
      </c>
    </row>
    <row r="24" spans="1:20" x14ac:dyDescent="0.35">
      <c r="A24" s="9">
        <v>44561</v>
      </c>
      <c r="B24" s="10"/>
      <c r="C24" s="10">
        <v>19368942628.799999</v>
      </c>
      <c r="D24" s="10">
        <v>-18804040000</v>
      </c>
      <c r="E24" s="10">
        <v>-17776223000</v>
      </c>
      <c r="F24" s="10"/>
      <c r="G24" s="10"/>
      <c r="H24" s="10"/>
      <c r="I24" s="10">
        <v>107797269000</v>
      </c>
      <c r="J24" s="10"/>
      <c r="K24" s="10"/>
      <c r="L24" s="10"/>
      <c r="M24" s="10">
        <v>5.0999999999999996</v>
      </c>
      <c r="N24" s="10"/>
      <c r="O24" s="10">
        <v>19368942628.799999</v>
      </c>
      <c r="P24" s="10" t="s">
        <v>26</v>
      </c>
      <c r="Q24" s="10" t="s">
        <v>22</v>
      </c>
      <c r="R24" s="10"/>
      <c r="S24" s="10" t="s">
        <v>37</v>
      </c>
      <c r="T24" s="10" t="s">
        <v>140</v>
      </c>
    </row>
    <row r="25" spans="1:20" x14ac:dyDescent="0.35">
      <c r="A25" s="9">
        <v>44926</v>
      </c>
      <c r="B25" s="10">
        <v>616210939000</v>
      </c>
      <c r="C25" s="10">
        <v>16786416944.959999</v>
      </c>
      <c r="D25" s="10">
        <v>-2431679000</v>
      </c>
      <c r="E25" s="10">
        <v>-1170599000</v>
      </c>
      <c r="F25" s="10"/>
      <c r="G25" s="10"/>
      <c r="H25" s="10">
        <v>16.660413534082192</v>
      </c>
      <c r="I25" s="10">
        <v>63040148000</v>
      </c>
      <c r="J25" s="10">
        <v>485200542000</v>
      </c>
      <c r="K25" s="10">
        <v>445528456000</v>
      </c>
      <c r="L25" s="10">
        <v>79505085000</v>
      </c>
      <c r="M25" s="10">
        <v>4.42</v>
      </c>
      <c r="N25" s="10">
        <v>536705854000</v>
      </c>
      <c r="O25" s="10">
        <v>16786416944.959999</v>
      </c>
      <c r="P25" s="10" t="s">
        <v>26</v>
      </c>
      <c r="Q25" s="10" t="s">
        <v>22</v>
      </c>
      <c r="R25" s="10">
        <v>44.487273861913707</v>
      </c>
      <c r="S25" s="10" t="s">
        <v>37</v>
      </c>
      <c r="T25" s="10" t="s">
        <v>140</v>
      </c>
    </row>
    <row r="26" spans="1:20" x14ac:dyDescent="0.35">
      <c r="A26" s="9">
        <v>45291</v>
      </c>
      <c r="B26" s="10">
        <v>543250395000</v>
      </c>
      <c r="C26" s="10">
        <v>2468590727.2000003</v>
      </c>
      <c r="D26" s="10">
        <v>-14272006000</v>
      </c>
      <c r="E26" s="10">
        <v>-13178093000</v>
      </c>
      <c r="F26" s="10"/>
      <c r="G26" s="10"/>
      <c r="H26" s="10">
        <v>79.774966573742617</v>
      </c>
      <c r="I26" s="10">
        <v>59463712000</v>
      </c>
      <c r="J26" s="10">
        <v>415429788000</v>
      </c>
      <c r="K26" s="10">
        <v>412893638000</v>
      </c>
      <c r="L26" s="10">
        <v>51251030000</v>
      </c>
      <c r="M26" s="10">
        <v>0.65</v>
      </c>
      <c r="N26" s="10">
        <v>491999365000</v>
      </c>
      <c r="O26" s="10">
        <v>2468590727.2000003</v>
      </c>
      <c r="P26" s="10" t="s">
        <v>26</v>
      </c>
      <c r="Q26" s="10" t="s">
        <v>22</v>
      </c>
      <c r="R26" s="10">
        <v>48.607591716523281</v>
      </c>
      <c r="S26" s="10" t="s">
        <v>37</v>
      </c>
      <c r="T26" s="10" t="s">
        <v>140</v>
      </c>
    </row>
    <row r="27" spans="1:20" x14ac:dyDescent="0.35">
      <c r="A27" s="9">
        <v>45657</v>
      </c>
      <c r="B27" s="10">
        <v>296428997000</v>
      </c>
      <c r="C27" s="10">
        <v>3911766844.6399999</v>
      </c>
      <c r="D27" s="10">
        <v>-29962122000</v>
      </c>
      <c r="E27" s="10">
        <v>-28928676000</v>
      </c>
      <c r="F27" s="10"/>
      <c r="G27" s="10"/>
      <c r="H27" s="10"/>
      <c r="I27" s="10">
        <v>59975062000</v>
      </c>
      <c r="J27" s="10">
        <v>349011726000</v>
      </c>
      <c r="K27" s="10">
        <v>384234258000</v>
      </c>
      <c r="L27" s="10">
        <v>3345936000</v>
      </c>
      <c r="M27" s="10">
        <v>1.03</v>
      </c>
      <c r="N27" s="10">
        <v>433083061000</v>
      </c>
      <c r="O27" s="10">
        <v>3911766844.6399999</v>
      </c>
      <c r="P27" s="10" t="s">
        <v>26</v>
      </c>
      <c r="Q27" s="10" t="s">
        <v>22</v>
      </c>
      <c r="R27" s="10">
        <v>58.037216303480399</v>
      </c>
      <c r="S27" s="10" t="s">
        <v>37</v>
      </c>
      <c r="T27" s="10" t="s">
        <v>140</v>
      </c>
    </row>
    <row r="28" spans="1:20" x14ac:dyDescent="0.35">
      <c r="A28" s="9">
        <v>41274</v>
      </c>
      <c r="B28" s="10">
        <v>436428997000</v>
      </c>
      <c r="C28" s="10">
        <v>6480000000</v>
      </c>
      <c r="D28" s="10">
        <v>1156700000</v>
      </c>
      <c r="E28" s="10">
        <v>1185388000</v>
      </c>
      <c r="F28" s="10"/>
      <c r="G28" s="10"/>
      <c r="H28" s="10"/>
      <c r="I28" s="10">
        <v>3893836000</v>
      </c>
      <c r="J28" s="10"/>
      <c r="K28" s="10"/>
      <c r="L28" s="10"/>
      <c r="M28" s="10">
        <v>2.25</v>
      </c>
      <c r="N28" s="10"/>
      <c r="O28" s="10">
        <v>6480000000</v>
      </c>
      <c r="P28" s="10" t="s">
        <v>26</v>
      </c>
      <c r="Q28" s="10" t="s">
        <v>22</v>
      </c>
      <c r="R28" s="10"/>
      <c r="S28" s="10" t="s">
        <v>38</v>
      </c>
      <c r="T28" s="10" t="s">
        <v>140</v>
      </c>
    </row>
    <row r="29" spans="1:20" x14ac:dyDescent="0.35">
      <c r="A29" s="9">
        <v>41639</v>
      </c>
      <c r="B29" s="10">
        <v>27362321000</v>
      </c>
      <c r="C29" s="10">
        <v>6670079998.0699997</v>
      </c>
      <c r="D29" s="10">
        <v>2579332000</v>
      </c>
      <c r="E29" s="10">
        <v>2607614000</v>
      </c>
      <c r="F29" s="10"/>
      <c r="G29" s="10"/>
      <c r="H29" s="10">
        <v>8.5680321872713971</v>
      </c>
      <c r="I29" s="10">
        <v>7470608000</v>
      </c>
      <c r="J29" s="10">
        <v>21847267000</v>
      </c>
      <c r="K29" s="10">
        <v>11483173000</v>
      </c>
      <c r="L29" s="10">
        <v>7471905000</v>
      </c>
      <c r="M29" s="10">
        <v>1.93</v>
      </c>
      <c r="N29" s="10"/>
      <c r="O29" s="10">
        <v>6670079998.0699997</v>
      </c>
      <c r="P29" s="10" t="s">
        <v>26</v>
      </c>
      <c r="Q29" s="10" t="s">
        <v>22</v>
      </c>
      <c r="R29" s="10"/>
      <c r="S29" s="10" t="s">
        <v>38</v>
      </c>
      <c r="T29" s="10" t="s">
        <v>140</v>
      </c>
    </row>
    <row r="30" spans="1:20" x14ac:dyDescent="0.35">
      <c r="A30" s="9">
        <v>42004</v>
      </c>
      <c r="B30" s="10">
        <v>39075007000</v>
      </c>
      <c r="C30" s="10">
        <v>6739199998.0500002</v>
      </c>
      <c r="D30" s="10">
        <v>2813277000</v>
      </c>
      <c r="E30" s="10">
        <v>2837363000</v>
      </c>
      <c r="F30" s="10"/>
      <c r="G30" s="10"/>
      <c r="H30" s="10">
        <v>6.0311342079149375</v>
      </c>
      <c r="I30" s="10">
        <v>7836633000</v>
      </c>
      <c r="J30" s="10">
        <v>29559864000</v>
      </c>
      <c r="K30" s="10">
        <v>17278610000</v>
      </c>
      <c r="L30" s="10">
        <v>9389799000</v>
      </c>
      <c r="M30" s="10">
        <v>1.95</v>
      </c>
      <c r="N30" s="10"/>
      <c r="O30" s="10">
        <v>6739199998.0500002</v>
      </c>
      <c r="P30" s="10" t="s">
        <v>26</v>
      </c>
      <c r="Q30" s="10" t="s">
        <v>22</v>
      </c>
      <c r="R30" s="10"/>
      <c r="S30" s="10" t="s">
        <v>38</v>
      </c>
      <c r="T30" s="10" t="s">
        <v>140</v>
      </c>
    </row>
    <row r="31" spans="1:20" x14ac:dyDescent="0.35">
      <c r="A31" s="9">
        <v>42369</v>
      </c>
      <c r="B31" s="10">
        <v>52845858000</v>
      </c>
      <c r="C31" s="10">
        <v>8013599997.9000006</v>
      </c>
      <c r="D31" s="10">
        <v>3210643000</v>
      </c>
      <c r="E31" s="10">
        <v>3253298000</v>
      </c>
      <c r="F31" s="10"/>
      <c r="G31" s="10"/>
      <c r="H31" s="10">
        <v>-28.255440405432587</v>
      </c>
      <c r="I31" s="10">
        <v>10375501000</v>
      </c>
      <c r="J31" s="10">
        <v>44738520000</v>
      </c>
      <c r="K31" s="10">
        <v>25625902000</v>
      </c>
      <c r="L31" s="10">
        <v>10241355000</v>
      </c>
      <c r="M31" s="10">
        <v>2.1</v>
      </c>
      <c r="N31" s="10"/>
      <c r="O31" s="10">
        <v>8013599997.9000006</v>
      </c>
      <c r="P31" s="10" t="s">
        <v>26</v>
      </c>
      <c r="Q31" s="10" t="s">
        <v>22</v>
      </c>
      <c r="R31" s="10"/>
      <c r="S31" s="10" t="s">
        <v>38</v>
      </c>
      <c r="T31" s="10" t="s">
        <v>140</v>
      </c>
    </row>
    <row r="32" spans="1:20" x14ac:dyDescent="0.35">
      <c r="A32" s="9">
        <v>42735</v>
      </c>
      <c r="B32" s="10">
        <v>68860512000</v>
      </c>
      <c r="C32" s="10">
        <v>10303199997.300001</v>
      </c>
      <c r="D32" s="10">
        <v>4358334000</v>
      </c>
      <c r="E32" s="10">
        <v>4397080000</v>
      </c>
      <c r="F32" s="10"/>
      <c r="G32" s="10"/>
      <c r="H32" s="10">
        <v>138.46490194550555</v>
      </c>
      <c r="I32" s="10">
        <v>13671828000</v>
      </c>
      <c r="J32" s="10"/>
      <c r="K32" s="10"/>
      <c r="L32" s="10">
        <v>11672736000</v>
      </c>
      <c r="M32" s="10">
        <v>2.7</v>
      </c>
      <c r="N32" s="10">
        <v>57187776000</v>
      </c>
      <c r="O32" s="10">
        <v>10303199997.300001</v>
      </c>
      <c r="P32" s="10" t="s">
        <v>26</v>
      </c>
      <c r="Q32" s="10" t="s">
        <v>22</v>
      </c>
      <c r="R32" s="10"/>
      <c r="S32" s="10" t="s">
        <v>38</v>
      </c>
      <c r="T32" s="10" t="s">
        <v>140</v>
      </c>
    </row>
    <row r="33" spans="1:20" x14ac:dyDescent="0.35">
      <c r="A33" s="9">
        <v>43100</v>
      </c>
      <c r="B33" s="10">
        <v>79904817000</v>
      </c>
      <c r="C33" s="10">
        <v>17451537399.029999</v>
      </c>
      <c r="D33" s="10">
        <v>6591502000</v>
      </c>
      <c r="E33" s="10">
        <v>6674288000</v>
      </c>
      <c r="F33" s="10"/>
      <c r="G33" s="10"/>
      <c r="H33" s="10">
        <v>-758.59647957288621</v>
      </c>
      <c r="I33" s="10">
        <v>21700673000</v>
      </c>
      <c r="J33" s="10"/>
      <c r="K33" s="10"/>
      <c r="L33" s="10">
        <v>17443236000</v>
      </c>
      <c r="M33" s="10">
        <v>4.17</v>
      </c>
      <c r="N33" s="10">
        <v>62461581000</v>
      </c>
      <c r="O33" s="10">
        <v>17451537399.029999</v>
      </c>
      <c r="P33" s="10" t="s">
        <v>26</v>
      </c>
      <c r="Q33" s="10" t="s">
        <v>22</v>
      </c>
      <c r="R33" s="10"/>
      <c r="S33" s="10" t="s">
        <v>38</v>
      </c>
      <c r="T33" s="10" t="s">
        <v>140</v>
      </c>
    </row>
    <row r="34" spans="1:20" x14ac:dyDescent="0.35">
      <c r="A34" s="9">
        <v>43465</v>
      </c>
      <c r="B34" s="10">
        <v>115063004000</v>
      </c>
      <c r="C34" s="10">
        <v>15505102512.049999</v>
      </c>
      <c r="D34" s="10">
        <v>6620768000</v>
      </c>
      <c r="E34" s="10">
        <v>6697915000</v>
      </c>
      <c r="F34" s="10"/>
      <c r="G34" s="10"/>
      <c r="H34" s="10">
        <v>27.57733782190574</v>
      </c>
      <c r="I34" s="10">
        <v>24305871000</v>
      </c>
      <c r="J34" s="10"/>
      <c r="K34" s="10"/>
      <c r="L34" s="10">
        <v>21430352000</v>
      </c>
      <c r="M34" s="10">
        <v>3.23</v>
      </c>
      <c r="N34" s="10">
        <v>93632652000</v>
      </c>
      <c r="O34" s="10">
        <v>15505102512.049999</v>
      </c>
      <c r="P34" s="10" t="s">
        <v>26</v>
      </c>
      <c r="Q34" s="10" t="s">
        <v>22</v>
      </c>
      <c r="R34" s="10"/>
      <c r="S34" s="10" t="s">
        <v>38</v>
      </c>
      <c r="T34" s="10" t="s">
        <v>140</v>
      </c>
    </row>
    <row r="35" spans="1:20" x14ac:dyDescent="0.35">
      <c r="A35" s="9">
        <v>43830</v>
      </c>
      <c r="B35" s="10"/>
      <c r="C35" s="10">
        <v>22400452339.98</v>
      </c>
      <c r="D35" s="10">
        <v>6400621000</v>
      </c>
      <c r="E35" s="10">
        <v>6483809000</v>
      </c>
      <c r="F35" s="10"/>
      <c r="G35" s="10"/>
      <c r="H35" s="10"/>
      <c r="I35" s="10">
        <v>23240705000</v>
      </c>
      <c r="J35" s="10"/>
      <c r="K35" s="10"/>
      <c r="L35" s="10"/>
      <c r="M35" s="10">
        <v>4.29</v>
      </c>
      <c r="N35" s="10"/>
      <c r="O35" s="10">
        <v>22400452339.98</v>
      </c>
      <c r="P35" s="10" t="s">
        <v>26</v>
      </c>
      <c r="Q35" s="10" t="s">
        <v>22</v>
      </c>
      <c r="R35" s="10"/>
      <c r="S35" s="10" t="s">
        <v>38</v>
      </c>
      <c r="T35" s="10" t="s">
        <v>140</v>
      </c>
    </row>
    <row r="36" spans="1:20" x14ac:dyDescent="0.35">
      <c r="A36" s="9">
        <v>44196</v>
      </c>
      <c r="B36" s="10">
        <v>178198057000</v>
      </c>
      <c r="C36" s="10">
        <v>15942366322.4</v>
      </c>
      <c r="D36" s="10">
        <v>-269223000</v>
      </c>
      <c r="E36" s="10">
        <v>-195202000</v>
      </c>
      <c r="F36" s="10"/>
      <c r="G36" s="10"/>
      <c r="H36" s="10">
        <v>133.93085955486467</v>
      </c>
      <c r="I36" s="10">
        <v>10411604000</v>
      </c>
      <c r="J36" s="10"/>
      <c r="K36" s="10"/>
      <c r="L36" s="10">
        <v>34302930000</v>
      </c>
      <c r="M36" s="10">
        <v>2.8</v>
      </c>
      <c r="N36" s="10">
        <v>143895127000</v>
      </c>
      <c r="O36" s="10">
        <v>15942366322.4</v>
      </c>
      <c r="P36" s="10" t="s">
        <v>26</v>
      </c>
      <c r="Q36" s="10" t="s">
        <v>22</v>
      </c>
      <c r="R36" s="10"/>
      <c r="S36" s="10" t="s">
        <v>38</v>
      </c>
      <c r="T36" s="10" t="s">
        <v>140</v>
      </c>
    </row>
    <row r="37" spans="1:20" x14ac:dyDescent="0.35">
      <c r="A37" s="9">
        <v>44561</v>
      </c>
      <c r="B37" s="10"/>
      <c r="C37" s="10">
        <v>4188102080</v>
      </c>
      <c r="D37" s="10">
        <v>3203879000</v>
      </c>
      <c r="E37" s="10">
        <v>3272959000</v>
      </c>
      <c r="F37" s="10"/>
      <c r="G37" s="10"/>
      <c r="H37" s="10"/>
      <c r="I37" s="10">
        <v>27071241000</v>
      </c>
      <c r="J37" s="10"/>
      <c r="K37" s="10"/>
      <c r="L37" s="10"/>
      <c r="M37" s="10">
        <v>0.64</v>
      </c>
      <c r="N37" s="10"/>
      <c r="O37" s="10">
        <v>4188102080</v>
      </c>
      <c r="P37" s="10" t="s">
        <v>26</v>
      </c>
      <c r="Q37" s="10" t="s">
        <v>22</v>
      </c>
      <c r="R37" s="10"/>
      <c r="S37" s="10" t="s">
        <v>38</v>
      </c>
      <c r="T37" s="10" t="s">
        <v>140</v>
      </c>
    </row>
    <row r="38" spans="1:20" x14ac:dyDescent="0.35">
      <c r="A38" s="9">
        <v>44926</v>
      </c>
      <c r="B38" s="10"/>
      <c r="C38" s="10">
        <v>2912039727.5</v>
      </c>
      <c r="D38" s="10">
        <v>-12671981000</v>
      </c>
      <c r="E38" s="10">
        <v>-12614792000</v>
      </c>
      <c r="F38" s="10"/>
      <c r="G38" s="10"/>
      <c r="H38" s="10"/>
      <c r="I38" s="10">
        <v>26737240000</v>
      </c>
      <c r="J38" s="10"/>
      <c r="K38" s="10"/>
      <c r="L38" s="10"/>
      <c r="M38" s="10">
        <v>0.44500000000000001</v>
      </c>
      <c r="N38" s="10"/>
      <c r="O38" s="10">
        <v>2912039727.5</v>
      </c>
      <c r="P38" s="10" t="s">
        <v>26</v>
      </c>
      <c r="Q38" s="10" t="s">
        <v>22</v>
      </c>
      <c r="R38" s="10"/>
      <c r="S38" s="10" t="s">
        <v>38</v>
      </c>
      <c r="T38" s="10" t="s">
        <v>140</v>
      </c>
    </row>
    <row r="39" spans="1:20" x14ac:dyDescent="0.35">
      <c r="A39" s="9">
        <v>45291</v>
      </c>
      <c r="B39" s="10"/>
      <c r="C39" s="10">
        <v>674022678.5</v>
      </c>
      <c r="D39" s="10">
        <v>-10436078000</v>
      </c>
      <c r="E39" s="10">
        <v>-10377727000</v>
      </c>
      <c r="F39" s="10"/>
      <c r="G39" s="10"/>
      <c r="H39" s="10"/>
      <c r="I39" s="10">
        <v>21477083000</v>
      </c>
      <c r="J39" s="10"/>
      <c r="K39" s="10"/>
      <c r="L39" s="10"/>
      <c r="M39" s="10">
        <v>0.10299999999999999</v>
      </c>
      <c r="N39" s="10"/>
      <c r="O39" s="10">
        <v>674022678.5</v>
      </c>
      <c r="P39" s="10" t="s">
        <v>26</v>
      </c>
      <c r="Q39" s="10" t="s">
        <v>22</v>
      </c>
      <c r="R39" s="10"/>
      <c r="S39" s="10" t="s">
        <v>38</v>
      </c>
      <c r="T39" s="10" t="s">
        <v>140</v>
      </c>
    </row>
    <row r="40" spans="1:20" x14ac:dyDescent="0.35">
      <c r="A40" s="9">
        <v>45657</v>
      </c>
      <c r="B40" s="10"/>
      <c r="C40" s="10">
        <v>484249303</v>
      </c>
      <c r="D40" s="10">
        <v>-10695897000</v>
      </c>
      <c r="E40" s="10">
        <v>-10632539000</v>
      </c>
      <c r="F40" s="10"/>
      <c r="G40" s="10"/>
      <c r="H40" s="10"/>
      <c r="I40" s="10">
        <v>9716264000</v>
      </c>
      <c r="J40" s="10"/>
      <c r="K40" s="10"/>
      <c r="L40" s="10"/>
      <c r="M40" s="10">
        <v>7.3999999999999996E-2</v>
      </c>
      <c r="N40" s="10"/>
      <c r="O40" s="10">
        <v>484249303</v>
      </c>
      <c r="P40" s="10" t="s">
        <v>26</v>
      </c>
      <c r="Q40" s="10" t="s">
        <v>22</v>
      </c>
      <c r="R40" s="10"/>
      <c r="S40" s="10" t="s">
        <v>38</v>
      </c>
      <c r="T40" s="10" t="s">
        <v>140</v>
      </c>
    </row>
    <row r="41" spans="1:20" x14ac:dyDescent="0.35">
      <c r="A41" s="9">
        <v>41274</v>
      </c>
      <c r="B41" s="10">
        <v>128304177469.67</v>
      </c>
      <c r="C41" s="10">
        <v>41568538737.599998</v>
      </c>
      <c r="D41" s="10">
        <v>11395191000</v>
      </c>
      <c r="E41" s="10">
        <v>11703159000</v>
      </c>
      <c r="F41" s="10"/>
      <c r="G41" s="10"/>
      <c r="H41" s="10">
        <v>-89.005532661885326</v>
      </c>
      <c r="I41" s="10">
        <v>30365056000</v>
      </c>
      <c r="J41" s="10">
        <v>70746152050.660004</v>
      </c>
      <c r="K41" s="10">
        <v>40555585957.550003</v>
      </c>
      <c r="L41" s="10">
        <v>26759470830.25</v>
      </c>
      <c r="M41" s="10">
        <v>12.9</v>
      </c>
      <c r="N41" s="10">
        <v>71111788281.479996</v>
      </c>
      <c r="O41" s="10">
        <v>41568538737.599998</v>
      </c>
      <c r="P41" s="10" t="s">
        <v>26</v>
      </c>
      <c r="Q41" s="10" t="s">
        <v>22</v>
      </c>
      <c r="R41" s="10">
        <v>36.256310864521346</v>
      </c>
      <c r="S41" s="10" t="s">
        <v>36</v>
      </c>
      <c r="T41" s="10" t="s">
        <v>140</v>
      </c>
    </row>
    <row r="42" spans="1:20" x14ac:dyDescent="0.35">
      <c r="A42" s="9">
        <v>41639</v>
      </c>
      <c r="B42" s="10">
        <v>139404177469.67001</v>
      </c>
      <c r="C42" s="10">
        <v>36541645680.959999</v>
      </c>
      <c r="D42" s="10">
        <v>14741916000</v>
      </c>
      <c r="E42" s="10">
        <v>15074142000</v>
      </c>
      <c r="F42" s="10"/>
      <c r="G42" s="10"/>
      <c r="H42" s="10">
        <v>-61.006918820388655</v>
      </c>
      <c r="I42" s="10">
        <v>36271284000</v>
      </c>
      <c r="J42" s="10">
        <v>107603541154.42</v>
      </c>
      <c r="K42" s="10">
        <v>59922862747.5</v>
      </c>
      <c r="L42" s="10">
        <v>33417908738.720001</v>
      </c>
      <c r="M42" s="10">
        <v>11.34</v>
      </c>
      <c r="N42" s="10">
        <v>105986268730.95</v>
      </c>
      <c r="O42" s="10">
        <v>36541645680.959999</v>
      </c>
      <c r="P42" s="10" t="s">
        <v>26</v>
      </c>
      <c r="Q42" s="10" t="s">
        <v>22</v>
      </c>
      <c r="R42" s="10">
        <v>44.004410374880294</v>
      </c>
      <c r="S42" s="10" t="s">
        <v>36</v>
      </c>
      <c r="T42" s="10" t="s">
        <v>140</v>
      </c>
    </row>
    <row r="43" spans="1:20" x14ac:dyDescent="0.35">
      <c r="A43" s="9">
        <v>42004</v>
      </c>
      <c r="B43" s="10">
        <v>171783929393</v>
      </c>
      <c r="C43" s="10">
        <v>30580266094.560001</v>
      </c>
      <c r="D43" s="10">
        <v>10859002000</v>
      </c>
      <c r="E43" s="10">
        <v>11331705000</v>
      </c>
      <c r="F43" s="10"/>
      <c r="G43" s="10"/>
      <c r="H43" s="10">
        <v>385.39588430242799</v>
      </c>
      <c r="I43" s="10">
        <v>34705410000</v>
      </c>
      <c r="J43" s="10">
        <v>135475154421.7</v>
      </c>
      <c r="K43" s="10">
        <v>70862197887.199997</v>
      </c>
      <c r="L43" s="10">
        <v>52083117003.230003</v>
      </c>
      <c r="M43" s="10">
        <v>9.49</v>
      </c>
      <c r="N43" s="10">
        <v>119700812389.77</v>
      </c>
      <c r="O43" s="10">
        <v>30580266094.560001</v>
      </c>
      <c r="P43" s="10" t="s">
        <v>26</v>
      </c>
      <c r="Q43" s="10" t="s">
        <v>22</v>
      </c>
      <c r="R43" s="10">
        <v>39.351186942382625</v>
      </c>
      <c r="S43" s="10" t="s">
        <v>36</v>
      </c>
      <c r="T43" s="10" t="s">
        <v>140</v>
      </c>
    </row>
    <row r="44" spans="1:20" x14ac:dyDescent="0.35">
      <c r="A44" s="9">
        <v>42369</v>
      </c>
      <c r="B44" s="10">
        <v>183661357055.14001</v>
      </c>
      <c r="C44" s="10">
        <v>30773608135.200001</v>
      </c>
      <c r="D44" s="10">
        <v>12389932000</v>
      </c>
      <c r="E44" s="10">
        <v>12843441000</v>
      </c>
      <c r="F44" s="10"/>
      <c r="G44" s="10">
        <v>0.90608638854428203</v>
      </c>
      <c r="H44" s="10">
        <v>596.28455093379091</v>
      </c>
      <c r="I44" s="10">
        <v>44290924000</v>
      </c>
      <c r="J44" s="10">
        <v>142372741481.17999</v>
      </c>
      <c r="K44" s="10">
        <v>80820206530.350006</v>
      </c>
      <c r="L44" s="10">
        <v>49174318753.529999</v>
      </c>
      <c r="M44" s="10">
        <v>9.5500000000000007</v>
      </c>
      <c r="N44" s="10">
        <v>134487038301.61</v>
      </c>
      <c r="O44" s="10">
        <v>30773608135.200001</v>
      </c>
      <c r="P44" s="10" t="s">
        <v>26</v>
      </c>
      <c r="Q44" s="10" t="s">
        <v>22</v>
      </c>
      <c r="R44" s="10">
        <v>44.879499742612396</v>
      </c>
      <c r="S44" s="10" t="s">
        <v>36</v>
      </c>
      <c r="T44" s="10" t="s">
        <v>140</v>
      </c>
    </row>
    <row r="45" spans="1:20" x14ac:dyDescent="0.35">
      <c r="A45" s="9">
        <v>42735</v>
      </c>
      <c r="B45" s="10">
        <v>226367985152.84</v>
      </c>
      <c r="C45" s="10">
        <v>30225805686.720001</v>
      </c>
      <c r="D45" s="10">
        <v>12950279000</v>
      </c>
      <c r="E45" s="10">
        <v>13572237000</v>
      </c>
      <c r="F45" s="10"/>
      <c r="G45" s="10">
        <v>0.86896563334696164</v>
      </c>
      <c r="H45" s="10">
        <v>54.950960393019031</v>
      </c>
      <c r="I45" s="10">
        <v>53730339000</v>
      </c>
      <c r="J45" s="10">
        <v>178334136502.13</v>
      </c>
      <c r="K45" s="10">
        <v>87474223752.720001</v>
      </c>
      <c r="L45" s="10">
        <v>46803577386.330002</v>
      </c>
      <c r="M45" s="10">
        <v>9.3800000000000008</v>
      </c>
      <c r="N45" s="10">
        <v>179564407766.51001</v>
      </c>
      <c r="O45" s="10">
        <v>30225805686.720001</v>
      </c>
      <c r="P45" s="10" t="s">
        <v>26</v>
      </c>
      <c r="Q45" s="10" t="s">
        <v>22</v>
      </c>
      <c r="R45" s="10">
        <v>53.289515016795463</v>
      </c>
      <c r="S45" s="10" t="s">
        <v>36</v>
      </c>
      <c r="T45" s="10" t="s">
        <v>140</v>
      </c>
    </row>
    <row r="46" spans="1:20" x14ac:dyDescent="0.35">
      <c r="A46" s="9">
        <v>43100</v>
      </c>
      <c r="B46" s="10">
        <v>298067293647.73999</v>
      </c>
      <c r="C46" s="10">
        <v>56778112601.280006</v>
      </c>
      <c r="D46" s="10">
        <v>31121196000</v>
      </c>
      <c r="E46" s="10">
        <v>31954519000</v>
      </c>
      <c r="F46" s="10"/>
      <c r="G46" s="10">
        <v>-7.557288079406875E-2</v>
      </c>
      <c r="H46" s="10">
        <v>32.752913752836832</v>
      </c>
      <c r="I46" s="10">
        <v>59277855000</v>
      </c>
      <c r="J46" s="10">
        <v>213637973366.47</v>
      </c>
      <c r="K46" s="10">
        <v>112665509158.25999</v>
      </c>
      <c r="L46" s="10">
        <v>64862417275.269997</v>
      </c>
      <c r="M46" s="10">
        <v>17.62</v>
      </c>
      <c r="N46" s="10">
        <v>233204876372.47</v>
      </c>
      <c r="O46" s="10">
        <v>56778112601.280006</v>
      </c>
      <c r="P46" s="10" t="s">
        <v>26</v>
      </c>
      <c r="Q46" s="10" t="s">
        <v>22</v>
      </c>
      <c r="R46" s="10">
        <v>47.676840523186158</v>
      </c>
      <c r="S46" s="10" t="s">
        <v>36</v>
      </c>
      <c r="T46" s="10" t="s">
        <v>140</v>
      </c>
    </row>
    <row r="47" spans="1:20" x14ac:dyDescent="0.35">
      <c r="A47" s="9">
        <v>43465</v>
      </c>
      <c r="B47" s="10">
        <v>366152935491.07001</v>
      </c>
      <c r="C47" s="10">
        <v>38152829352.959999</v>
      </c>
      <c r="D47" s="10">
        <v>20089891000</v>
      </c>
      <c r="E47" s="10">
        <v>21924848000</v>
      </c>
      <c r="F47" s="10"/>
      <c r="G47" s="10">
        <v>1.9629470443470944E-2</v>
      </c>
      <c r="H47" s="10">
        <v>189.18691399568064</v>
      </c>
      <c r="I47" s="10">
        <v>76857682000</v>
      </c>
      <c r="J47" s="10">
        <v>271034643173.56</v>
      </c>
      <c r="K47" s="10">
        <v>177719160482.17001</v>
      </c>
      <c r="L47" s="10">
        <v>69829838861.089996</v>
      </c>
      <c r="M47" s="10">
        <v>11.84</v>
      </c>
      <c r="N47" s="10">
        <v>296323096629.97998</v>
      </c>
      <c r="O47" s="10">
        <v>38152829352.959999</v>
      </c>
      <c r="P47" s="10" t="s">
        <v>26</v>
      </c>
      <c r="Q47" s="10" t="s">
        <v>22</v>
      </c>
      <c r="R47" s="10">
        <v>44.585909399189156</v>
      </c>
      <c r="S47" s="10" t="s">
        <v>36</v>
      </c>
      <c r="T47" s="10" t="s">
        <v>140</v>
      </c>
    </row>
    <row r="48" spans="1:20" x14ac:dyDescent="0.35">
      <c r="A48" s="9">
        <v>43830</v>
      </c>
      <c r="B48" s="10">
        <v>427286480429.53998</v>
      </c>
      <c r="C48" s="10">
        <v>50263382406.720001</v>
      </c>
      <c r="D48" s="10">
        <v>22903326000</v>
      </c>
      <c r="E48" s="10">
        <v>24908459000</v>
      </c>
      <c r="F48" s="10"/>
      <c r="G48" s="10">
        <v>-1.0335837997850177</v>
      </c>
      <c r="H48" s="10">
        <v>-455.64502859732806</v>
      </c>
      <c r="I48" s="10">
        <v>90813970000</v>
      </c>
      <c r="J48" s="10">
        <v>323677811844.46997</v>
      </c>
      <c r="K48" s="10">
        <v>204303102607.26999</v>
      </c>
      <c r="L48" s="10">
        <v>79769248738.75</v>
      </c>
      <c r="M48" s="10">
        <v>14.38</v>
      </c>
      <c r="N48" s="10">
        <v>347517231690.78998</v>
      </c>
      <c r="O48" s="10">
        <v>50263382406.720001</v>
      </c>
      <c r="P48" s="10" t="s">
        <v>26</v>
      </c>
      <c r="Q48" s="10" t="s">
        <v>22</v>
      </c>
      <c r="R48" s="10">
        <v>46.840443746341229</v>
      </c>
      <c r="S48" s="10" t="s">
        <v>36</v>
      </c>
      <c r="T48" s="10" t="s">
        <v>140</v>
      </c>
    </row>
    <row r="49" spans="1:20" x14ac:dyDescent="0.35">
      <c r="A49" s="9">
        <v>44196</v>
      </c>
      <c r="B49" s="10">
        <v>435522444917.87</v>
      </c>
      <c r="C49" s="10">
        <v>37411102419.68</v>
      </c>
      <c r="D49" s="10">
        <v>21118780000</v>
      </c>
      <c r="E49" s="10">
        <v>23148236000</v>
      </c>
      <c r="F49" s="10"/>
      <c r="G49" s="10">
        <v>4.4618230029724426</v>
      </c>
      <c r="H49" s="10">
        <v>1393.6560242715318</v>
      </c>
      <c r="I49" s="10">
        <v>85891778000</v>
      </c>
      <c r="J49" s="10">
        <v>327738508596.22998</v>
      </c>
      <c r="K49" s="10">
        <v>242227435033.25</v>
      </c>
      <c r="L49" s="10">
        <v>86819305115.830002</v>
      </c>
      <c r="M49" s="10">
        <v>9.9700000000000006</v>
      </c>
      <c r="N49" s="10">
        <v>348703139802.03998</v>
      </c>
      <c r="O49" s="10">
        <v>37411102419.68</v>
      </c>
      <c r="P49" s="10" t="s">
        <v>26</v>
      </c>
      <c r="Q49" s="10" t="s">
        <v>22</v>
      </c>
      <c r="R49" s="10">
        <v>37.777834387026118</v>
      </c>
      <c r="S49" s="10" t="s">
        <v>36</v>
      </c>
      <c r="T49" s="10" t="s">
        <v>140</v>
      </c>
    </row>
    <row r="50" spans="1:20" x14ac:dyDescent="0.35">
      <c r="A50" s="9">
        <v>44561</v>
      </c>
      <c r="B50" s="10">
        <v>392358416529.16998</v>
      </c>
      <c r="C50" s="10">
        <v>10881865297.6</v>
      </c>
      <c r="D50" s="10">
        <v>-9072241000</v>
      </c>
      <c r="E50" s="10">
        <v>-7154846000</v>
      </c>
      <c r="F50" s="10"/>
      <c r="G50" s="10">
        <v>-169.04771699629561</v>
      </c>
      <c r="H50" s="10">
        <v>-150.24509116170574</v>
      </c>
      <c r="I50" s="10">
        <v>76230335000</v>
      </c>
      <c r="J50" s="10">
        <v>275160247577.92999</v>
      </c>
      <c r="K50" s="10">
        <v>237161467397.89001</v>
      </c>
      <c r="L50" s="10">
        <v>77854321646.910004</v>
      </c>
      <c r="M50" s="10">
        <v>2.9</v>
      </c>
      <c r="N50" s="10">
        <v>314504094882.26001</v>
      </c>
      <c r="O50" s="10">
        <v>10881865297.6</v>
      </c>
      <c r="P50" s="10" t="s">
        <v>26</v>
      </c>
      <c r="Q50" s="10" t="s">
        <v>22</v>
      </c>
      <c r="R50" s="10">
        <v>33.339477021802303</v>
      </c>
      <c r="S50" s="10" t="s">
        <v>36</v>
      </c>
      <c r="T50" s="10" t="s">
        <v>140</v>
      </c>
    </row>
    <row r="51" spans="1:20" x14ac:dyDescent="0.35">
      <c r="A51" s="9">
        <v>44926</v>
      </c>
      <c r="B51" s="10">
        <v>363101794082.34998</v>
      </c>
      <c r="C51" s="10">
        <v>7129497953.5999994</v>
      </c>
      <c r="D51" s="10">
        <v>-8302070000</v>
      </c>
      <c r="E51" s="10">
        <v>-6178415000</v>
      </c>
      <c r="F51" s="10"/>
      <c r="G51" s="10">
        <v>-11.146272929580451</v>
      </c>
      <c r="H51" s="10">
        <v>-153.50274290736482</v>
      </c>
      <c r="I51" s="10">
        <v>35192599000</v>
      </c>
      <c r="J51" s="10">
        <v>251971357589.20999</v>
      </c>
      <c r="K51" s="10">
        <v>205179311508.57999</v>
      </c>
      <c r="L51" s="10">
        <v>62173179652.639999</v>
      </c>
      <c r="M51" s="10">
        <v>1.9</v>
      </c>
      <c r="N51" s="10">
        <v>300928614429.71002</v>
      </c>
      <c r="O51" s="10">
        <v>7129497953.5999994</v>
      </c>
      <c r="P51" s="10" t="s">
        <v>26</v>
      </c>
      <c r="Q51" s="10" t="s">
        <v>22</v>
      </c>
      <c r="R51" s="10">
        <v>35.490340203770437</v>
      </c>
      <c r="S51" s="10" t="s">
        <v>36</v>
      </c>
      <c r="T51" s="10" t="s">
        <v>140</v>
      </c>
    </row>
    <row r="52" spans="1:20" x14ac:dyDescent="0.35">
      <c r="A52" s="9">
        <v>45291</v>
      </c>
      <c r="B52" s="10">
        <v>329253323652.42999</v>
      </c>
      <c r="C52" s="10">
        <v>4277698772.1599998</v>
      </c>
      <c r="D52" s="10">
        <v>-8515254000</v>
      </c>
      <c r="E52" s="10">
        <v>-6402705000</v>
      </c>
      <c r="F52" s="10"/>
      <c r="G52" s="10">
        <v>-0.93025740379767963</v>
      </c>
      <c r="H52" s="10">
        <v>-416.41536782054851</v>
      </c>
      <c r="I52" s="10">
        <v>36238835000</v>
      </c>
      <c r="J52" s="10">
        <v>226299435469.34</v>
      </c>
      <c r="K52" s="10">
        <v>195722066465.38</v>
      </c>
      <c r="L52" s="10">
        <v>41821127252.660004</v>
      </c>
      <c r="M52" s="10">
        <v>1.1399999999999999</v>
      </c>
      <c r="N52" s="10">
        <v>287432196399.77002</v>
      </c>
      <c r="O52" s="10">
        <v>4277698772.1599998</v>
      </c>
      <c r="P52" s="10" t="s">
        <v>26</v>
      </c>
      <c r="Q52" s="10" t="s">
        <v>22</v>
      </c>
      <c r="R52" s="10">
        <v>40.577363445352724</v>
      </c>
      <c r="S52" s="10" t="s">
        <v>36</v>
      </c>
      <c r="T52" s="10" t="s">
        <v>140</v>
      </c>
    </row>
    <row r="53" spans="1:20" x14ac:dyDescent="0.35">
      <c r="A53" s="9">
        <v>45657</v>
      </c>
      <c r="B53" s="10">
        <v>287974768787</v>
      </c>
      <c r="C53" s="10">
        <v>5103219587.8400002</v>
      </c>
      <c r="D53" s="10">
        <v>-9366505000</v>
      </c>
      <c r="E53" s="10">
        <v>-7725373000</v>
      </c>
      <c r="F53" s="10"/>
      <c r="G53" s="10">
        <v>-3.4659744944576785E-3</v>
      </c>
      <c r="H53" s="10">
        <v>-1.1964279278288015</v>
      </c>
      <c r="I53" s="10">
        <v>17701425000</v>
      </c>
      <c r="J53" s="10">
        <v>212106819725.56</v>
      </c>
      <c r="K53" s="10">
        <v>243816655583.56</v>
      </c>
      <c r="L53" s="10">
        <v>26163053406.139999</v>
      </c>
      <c r="M53" s="10">
        <v>1.36</v>
      </c>
      <c r="N53" s="10">
        <v>261811715380.85999</v>
      </c>
      <c r="O53" s="10">
        <v>5103219587.8400002</v>
      </c>
      <c r="P53" s="10" t="s">
        <v>26</v>
      </c>
      <c r="Q53" s="10" t="s">
        <v>22</v>
      </c>
      <c r="R53" s="10">
        <v>39.897541892481478</v>
      </c>
      <c r="S53" s="10" t="s">
        <v>36</v>
      </c>
      <c r="T53" s="10" t="s">
        <v>140</v>
      </c>
    </row>
    <row r="54" spans="1:20" x14ac:dyDescent="0.35">
      <c r="A54" s="9">
        <v>41274</v>
      </c>
      <c r="B54" s="10">
        <v>111532306000</v>
      </c>
      <c r="C54" s="10">
        <v>37599005000</v>
      </c>
      <c r="D54" s="10">
        <v>10532810000</v>
      </c>
      <c r="E54" s="10">
        <v>10797141000</v>
      </c>
      <c r="F54" s="10"/>
      <c r="G54" s="10"/>
      <c r="H54" s="10"/>
      <c r="I54" s="10">
        <v>30074048000</v>
      </c>
      <c r="J54" s="10"/>
      <c r="K54" s="10"/>
      <c r="L54" s="10"/>
      <c r="M54" s="10">
        <v>10.9</v>
      </c>
      <c r="N54" s="10"/>
      <c r="O54" s="10">
        <v>37599005000</v>
      </c>
      <c r="P54" s="10" t="s">
        <v>26</v>
      </c>
      <c r="Q54" s="10" t="s">
        <v>22</v>
      </c>
      <c r="R54" s="10"/>
      <c r="S54" s="10" t="s">
        <v>40</v>
      </c>
      <c r="T54" s="10" t="s">
        <v>140</v>
      </c>
    </row>
    <row r="55" spans="1:20" x14ac:dyDescent="0.35">
      <c r="A55" s="9">
        <v>41639</v>
      </c>
      <c r="B55" s="10">
        <v>114535206000</v>
      </c>
      <c r="C55" s="10">
        <v>28647478500</v>
      </c>
      <c r="D55" s="10">
        <v>10683451000</v>
      </c>
      <c r="E55" s="10">
        <v>10963764000</v>
      </c>
      <c r="F55" s="10"/>
      <c r="G55" s="10"/>
      <c r="H55" s="10">
        <v>-878.70878232496091</v>
      </c>
      <c r="I55" s="10">
        <v>35436404000</v>
      </c>
      <c r="J55" s="10"/>
      <c r="K55" s="10"/>
      <c r="L55" s="10">
        <v>36567296000</v>
      </c>
      <c r="M55" s="10">
        <v>8.31</v>
      </c>
      <c r="N55" s="10">
        <v>77967910000</v>
      </c>
      <c r="O55" s="10">
        <v>28647478500</v>
      </c>
      <c r="P55" s="10" t="s">
        <v>26</v>
      </c>
      <c r="Q55" s="10" t="s">
        <v>22</v>
      </c>
      <c r="R55" s="10"/>
      <c r="S55" s="10" t="s">
        <v>40</v>
      </c>
      <c r="T55" s="10" t="s">
        <v>140</v>
      </c>
    </row>
    <row r="56" spans="1:20" x14ac:dyDescent="0.35">
      <c r="A56" s="9">
        <v>42004</v>
      </c>
      <c r="B56" s="10">
        <v>123648156000</v>
      </c>
      <c r="C56" s="10">
        <v>17274179475</v>
      </c>
      <c r="D56" s="10">
        <v>10249293000</v>
      </c>
      <c r="E56" s="10">
        <v>10670909000</v>
      </c>
      <c r="F56" s="10"/>
      <c r="G56" s="10"/>
      <c r="H56" s="10">
        <v>349.6241564440615</v>
      </c>
      <c r="I56" s="10">
        <v>38317599000</v>
      </c>
      <c r="J56" s="10"/>
      <c r="K56" s="10"/>
      <c r="L56" s="10">
        <v>41095292000</v>
      </c>
      <c r="M56" s="10">
        <v>4.41</v>
      </c>
      <c r="N56" s="10">
        <v>82552864000</v>
      </c>
      <c r="O56" s="10">
        <v>17274179475</v>
      </c>
      <c r="P56" s="10" t="s">
        <v>26</v>
      </c>
      <c r="Q56" s="10" t="s">
        <v>22</v>
      </c>
      <c r="R56" s="10"/>
      <c r="S56" s="10" t="s">
        <v>40</v>
      </c>
      <c r="T56" s="10" t="s">
        <v>140</v>
      </c>
    </row>
    <row r="57" spans="1:20" x14ac:dyDescent="0.35">
      <c r="A57" s="9">
        <v>42369</v>
      </c>
      <c r="B57" s="10">
        <v>117312931000</v>
      </c>
      <c r="C57" s="10">
        <v>16921645200.000002</v>
      </c>
      <c r="D57" s="10">
        <v>6493457000</v>
      </c>
      <c r="E57" s="10">
        <v>6929845000</v>
      </c>
      <c r="F57" s="10"/>
      <c r="G57" s="10"/>
      <c r="H57" s="10">
        <v>465.0996253256161</v>
      </c>
      <c r="I57" s="10">
        <v>43004312000</v>
      </c>
      <c r="J57" s="10"/>
      <c r="K57" s="10"/>
      <c r="L57" s="10">
        <v>41994987000</v>
      </c>
      <c r="M57" s="10">
        <v>4.32</v>
      </c>
      <c r="N57" s="10">
        <v>75317944000</v>
      </c>
      <c r="O57" s="10">
        <v>16921645200.000002</v>
      </c>
      <c r="P57" s="10" t="s">
        <v>26</v>
      </c>
      <c r="Q57" s="10" t="s">
        <v>22</v>
      </c>
      <c r="R57" s="10"/>
      <c r="S57" s="10" t="s">
        <v>40</v>
      </c>
      <c r="T57" s="10" t="s">
        <v>140</v>
      </c>
    </row>
    <row r="58" spans="1:20" x14ac:dyDescent="0.35">
      <c r="A58" s="9">
        <v>42735</v>
      </c>
      <c r="B58" s="10">
        <v>131724898000</v>
      </c>
      <c r="C58" s="10">
        <v>15472337625</v>
      </c>
      <c r="D58" s="10">
        <v>7974338000</v>
      </c>
      <c r="E58" s="10">
        <v>8502491000</v>
      </c>
      <c r="F58" s="10"/>
      <c r="G58" s="10"/>
      <c r="H58" s="10">
        <v>136.60597746093987</v>
      </c>
      <c r="I58" s="10">
        <v>46678865000</v>
      </c>
      <c r="J58" s="10"/>
      <c r="K58" s="10"/>
      <c r="L58" s="10">
        <v>44155230000</v>
      </c>
      <c r="M58" s="10">
        <v>3.95</v>
      </c>
      <c r="N58" s="10">
        <v>87569668000</v>
      </c>
      <c r="O58" s="10">
        <v>15472337625</v>
      </c>
      <c r="P58" s="10" t="s">
        <v>26</v>
      </c>
      <c r="Q58" s="10" t="s">
        <v>22</v>
      </c>
      <c r="R58" s="10"/>
      <c r="S58" s="10" t="s">
        <v>40</v>
      </c>
      <c r="T58" s="10" t="s">
        <v>140</v>
      </c>
    </row>
    <row r="59" spans="1:20" x14ac:dyDescent="0.35">
      <c r="A59" s="9">
        <v>43100</v>
      </c>
      <c r="B59" s="10">
        <v>163357666000</v>
      </c>
      <c r="C59" s="10">
        <v>46456183350</v>
      </c>
      <c r="D59" s="10">
        <v>16698318000</v>
      </c>
      <c r="E59" s="10">
        <v>17283157000</v>
      </c>
      <c r="F59" s="10"/>
      <c r="G59" s="10"/>
      <c r="H59" s="10">
        <v>43.736356066790592</v>
      </c>
      <c r="I59" s="10">
        <v>51607059000</v>
      </c>
      <c r="J59" s="10"/>
      <c r="K59" s="10"/>
      <c r="L59" s="10">
        <v>44176230000</v>
      </c>
      <c r="M59" s="10">
        <v>11.86</v>
      </c>
      <c r="N59" s="10">
        <v>119181436000</v>
      </c>
      <c r="O59" s="10">
        <v>46456183350</v>
      </c>
      <c r="P59" s="10" t="s">
        <v>26</v>
      </c>
      <c r="Q59" s="10" t="s">
        <v>22</v>
      </c>
      <c r="R59" s="10"/>
      <c r="S59" s="10" t="s">
        <v>40</v>
      </c>
      <c r="T59" s="10" t="s">
        <v>140</v>
      </c>
    </row>
    <row r="60" spans="1:20" x14ac:dyDescent="0.35">
      <c r="A60" s="9">
        <v>43465</v>
      </c>
      <c r="B60" s="10">
        <v>230445787000</v>
      </c>
      <c r="C60" s="10">
        <v>36076007475</v>
      </c>
      <c r="D60" s="10">
        <v>20095375000</v>
      </c>
      <c r="E60" s="10">
        <v>20698433000</v>
      </c>
      <c r="F60" s="10"/>
      <c r="G60" s="10"/>
      <c r="H60" s="10">
        <v>15.776344582361618</v>
      </c>
      <c r="I60" s="10">
        <v>56144926000</v>
      </c>
      <c r="J60" s="10"/>
      <c r="K60" s="10"/>
      <c r="L60" s="10">
        <v>54980933000</v>
      </c>
      <c r="M60" s="10">
        <v>9.2100000000000009</v>
      </c>
      <c r="N60" s="10">
        <v>175464854000</v>
      </c>
      <c r="O60" s="10">
        <v>36076007475</v>
      </c>
      <c r="P60" s="10" t="s">
        <v>26</v>
      </c>
      <c r="Q60" s="10" t="s">
        <v>22</v>
      </c>
      <c r="R60" s="10"/>
      <c r="S60" s="10" t="s">
        <v>40</v>
      </c>
      <c r="T60" s="10" t="s">
        <v>140</v>
      </c>
    </row>
    <row r="61" spans="1:20" x14ac:dyDescent="0.35">
      <c r="A61" s="9">
        <v>43830</v>
      </c>
      <c r="B61" s="10">
        <v>273231825000</v>
      </c>
      <c r="C61" s="10">
        <v>45907796700</v>
      </c>
      <c r="D61" s="10">
        <v>17767607000</v>
      </c>
      <c r="E61" s="10">
        <v>18633973000</v>
      </c>
      <c r="F61" s="10"/>
      <c r="G61" s="10"/>
      <c r="H61" s="10">
        <v>655.73446845788862</v>
      </c>
      <c r="I61" s="10">
        <v>60239097000</v>
      </c>
      <c r="J61" s="10"/>
      <c r="K61" s="10"/>
      <c r="L61" s="10">
        <v>65336476000</v>
      </c>
      <c r="M61" s="10">
        <v>11.72</v>
      </c>
      <c r="N61" s="10">
        <v>207895349000</v>
      </c>
      <c r="O61" s="10">
        <v>45907796700</v>
      </c>
      <c r="P61" s="10" t="s">
        <v>26</v>
      </c>
      <c r="Q61" s="10" t="s">
        <v>22</v>
      </c>
      <c r="R61" s="10"/>
      <c r="S61" s="10" t="s">
        <v>40</v>
      </c>
      <c r="T61" s="10" t="s">
        <v>140</v>
      </c>
    </row>
    <row r="62" spans="1:20" x14ac:dyDescent="0.35">
      <c r="A62" s="9">
        <v>44196</v>
      </c>
      <c r="B62" s="10">
        <v>313765058000</v>
      </c>
      <c r="C62" s="10">
        <v>40423930200</v>
      </c>
      <c r="D62" s="10">
        <v>23547756000</v>
      </c>
      <c r="E62" s="10">
        <v>24860384000</v>
      </c>
      <c r="F62" s="10"/>
      <c r="G62" s="10"/>
      <c r="H62" s="10">
        <v>38.801249616358206</v>
      </c>
      <c r="I62" s="10">
        <v>80245252000</v>
      </c>
      <c r="J62" s="10"/>
      <c r="K62" s="10"/>
      <c r="L62" s="10">
        <v>76969722000</v>
      </c>
      <c r="M62" s="10">
        <v>10.32</v>
      </c>
      <c r="N62" s="10">
        <v>236795336000</v>
      </c>
      <c r="O62" s="10">
        <v>40423930200</v>
      </c>
      <c r="P62" s="10" t="s">
        <v>26</v>
      </c>
      <c r="Q62" s="10" t="s">
        <v>22</v>
      </c>
      <c r="R62" s="10"/>
      <c r="S62" s="10" t="s">
        <v>40</v>
      </c>
      <c r="T62" s="10" t="s">
        <v>140</v>
      </c>
    </row>
    <row r="63" spans="1:20" x14ac:dyDescent="0.35">
      <c r="A63" s="9">
        <v>44561</v>
      </c>
      <c r="B63" s="10">
        <v>316559739000</v>
      </c>
      <c r="C63" s="10">
        <v>16569110925.000002</v>
      </c>
      <c r="D63" s="10">
        <v>19198802000</v>
      </c>
      <c r="E63" s="10">
        <v>20504195000</v>
      </c>
      <c r="F63" s="10"/>
      <c r="G63" s="10"/>
      <c r="H63" s="10">
        <v>-4.8682196062244696</v>
      </c>
      <c r="I63" s="10">
        <v>73027763000</v>
      </c>
      <c r="J63" s="10">
        <v>217860802000</v>
      </c>
      <c r="K63" s="10">
        <v>163444509000</v>
      </c>
      <c r="L63" s="10">
        <v>89431277000</v>
      </c>
      <c r="M63" s="10">
        <v>4.2300000000000004</v>
      </c>
      <c r="N63" s="10">
        <v>227128462000</v>
      </c>
      <c r="O63" s="10">
        <v>16569110925.000002</v>
      </c>
      <c r="P63" s="10" t="s">
        <v>26</v>
      </c>
      <c r="Q63" s="10" t="s">
        <v>22</v>
      </c>
      <c r="R63" s="10">
        <v>27.186141633759686</v>
      </c>
      <c r="S63" s="10" t="s">
        <v>40</v>
      </c>
      <c r="T63" s="10" t="s">
        <v>140</v>
      </c>
    </row>
    <row r="64" spans="1:20" x14ac:dyDescent="0.35">
      <c r="A64" s="9">
        <v>44926</v>
      </c>
      <c r="B64" s="10">
        <v>273382215000</v>
      </c>
      <c r="C64" s="10">
        <v>10350064725</v>
      </c>
      <c r="D64" s="10">
        <v>-9978927000</v>
      </c>
      <c r="E64" s="10">
        <v>-8673209000</v>
      </c>
      <c r="F64" s="10"/>
      <c r="G64" s="10"/>
      <c r="H64" s="10">
        <v>-87.233453918890049</v>
      </c>
      <c r="I64" s="10">
        <v>54034327000</v>
      </c>
      <c r="J64" s="10">
        <v>180113283000</v>
      </c>
      <c r="K64" s="10">
        <v>152255225000</v>
      </c>
      <c r="L64" s="10">
        <v>75726863000</v>
      </c>
      <c r="M64" s="10">
        <v>2.31</v>
      </c>
      <c r="N64" s="10">
        <v>197655352000</v>
      </c>
      <c r="O64" s="10">
        <v>10350064725</v>
      </c>
      <c r="P64" s="10" t="s">
        <v>26</v>
      </c>
      <c r="Q64" s="10" t="s">
        <v>22</v>
      </c>
      <c r="R64" s="10">
        <v>22.320687174182126</v>
      </c>
      <c r="S64" s="10" t="s">
        <v>40</v>
      </c>
      <c r="T64" s="10" t="s">
        <v>140</v>
      </c>
    </row>
    <row r="65" spans="1:20" x14ac:dyDescent="0.35">
      <c r="A65" s="9">
        <v>45291</v>
      </c>
      <c r="B65" s="10">
        <v>241808152000</v>
      </c>
      <c r="C65" s="10">
        <v>4289140375</v>
      </c>
      <c r="D65" s="10">
        <v>-11403944000</v>
      </c>
      <c r="E65" s="10">
        <v>-10233393000</v>
      </c>
      <c r="F65" s="10"/>
      <c r="G65" s="10"/>
      <c r="H65" s="10">
        <v>6690.9030406911397</v>
      </c>
      <c r="I65" s="10">
        <v>43310454000</v>
      </c>
      <c r="J65" s="10">
        <v>150816986000</v>
      </c>
      <c r="K65" s="10">
        <v>143161494000</v>
      </c>
      <c r="L65" s="10">
        <v>62356811000</v>
      </c>
      <c r="M65" s="10">
        <v>0.85</v>
      </c>
      <c r="N65" s="10">
        <v>179451341000</v>
      </c>
      <c r="O65" s="10">
        <v>4289140375</v>
      </c>
      <c r="P65" s="10" t="s">
        <v>26</v>
      </c>
      <c r="Q65" s="10" t="s">
        <v>22</v>
      </c>
      <c r="R65" s="10">
        <v>22.539414221237671</v>
      </c>
      <c r="S65" s="10" t="s">
        <v>40</v>
      </c>
      <c r="T65" s="10" t="s">
        <v>140</v>
      </c>
    </row>
    <row r="66" spans="1:20" x14ac:dyDescent="0.35">
      <c r="A66" s="9">
        <v>45657</v>
      </c>
      <c r="B66" s="10"/>
      <c r="C66" s="10">
        <v>3734075150</v>
      </c>
      <c r="D66" s="10">
        <v>-11861970000</v>
      </c>
      <c r="E66" s="10">
        <v>-10805134000</v>
      </c>
      <c r="F66" s="10"/>
      <c r="G66" s="10"/>
      <c r="H66" s="10"/>
      <c r="I66" s="10">
        <v>43345885000</v>
      </c>
      <c r="J66" s="10"/>
      <c r="K66" s="10"/>
      <c r="L66" s="10"/>
      <c r="M66" s="10">
        <v>0.74</v>
      </c>
      <c r="N66" s="10"/>
      <c r="O66" s="10">
        <v>3734075150</v>
      </c>
      <c r="P66" s="10" t="s">
        <v>26</v>
      </c>
      <c r="Q66" s="10" t="s">
        <v>22</v>
      </c>
      <c r="R66" s="10"/>
      <c r="S66" s="10" t="s">
        <v>40</v>
      </c>
      <c r="T66" s="10" t="s">
        <v>140</v>
      </c>
    </row>
    <row r="67" spans="1:20" x14ac:dyDescent="0.35">
      <c r="A67" s="9">
        <v>41274</v>
      </c>
      <c r="B67" s="10">
        <v>22608404500</v>
      </c>
      <c r="C67" s="10">
        <v>6679221450</v>
      </c>
      <c r="D67" s="10">
        <v>3424365000</v>
      </c>
      <c r="E67" s="10">
        <v>3554947000</v>
      </c>
      <c r="F67" s="10"/>
      <c r="G67" s="10"/>
      <c r="H67" s="10"/>
      <c r="I67" s="10">
        <v>5871763000</v>
      </c>
      <c r="J67" s="10"/>
      <c r="K67" s="10"/>
      <c r="L67" s="10"/>
      <c r="M67" s="10">
        <v>1.65</v>
      </c>
      <c r="N67" s="10"/>
      <c r="O67" s="10">
        <v>6679221450</v>
      </c>
      <c r="P67" s="10" t="s">
        <v>26</v>
      </c>
      <c r="Q67" s="10" t="s">
        <v>22</v>
      </c>
      <c r="R67" s="10"/>
      <c r="S67" s="10" t="s">
        <v>39</v>
      </c>
      <c r="T67" s="10" t="s">
        <v>140</v>
      </c>
    </row>
    <row r="68" spans="1:20" x14ac:dyDescent="0.35">
      <c r="A68" s="9">
        <v>41639</v>
      </c>
      <c r="B68" s="10">
        <v>48502917100</v>
      </c>
      <c r="C68" s="10">
        <v>6719701580</v>
      </c>
      <c r="D68" s="10">
        <v>2076770000</v>
      </c>
      <c r="E68" s="10">
        <v>2207577000</v>
      </c>
      <c r="F68" s="10"/>
      <c r="G68" s="10"/>
      <c r="H68" s="10">
        <v>-28.536908146178135</v>
      </c>
      <c r="I68" s="10">
        <v>7256938000</v>
      </c>
      <c r="J68" s="10">
        <v>25285080700</v>
      </c>
      <c r="K68" s="10">
        <v>15814461000</v>
      </c>
      <c r="L68" s="10">
        <v>17646133200</v>
      </c>
      <c r="M68" s="10">
        <v>1.66</v>
      </c>
      <c r="N68" s="10">
        <v>30856783900</v>
      </c>
      <c r="O68" s="10">
        <v>6719701580</v>
      </c>
      <c r="P68" s="10" t="s">
        <v>26</v>
      </c>
      <c r="Q68" s="10" t="s">
        <v>22</v>
      </c>
      <c r="R68" s="10">
        <v>33.874578442623196</v>
      </c>
      <c r="S68" s="10" t="s">
        <v>39</v>
      </c>
      <c r="T68" s="10" t="s">
        <v>140</v>
      </c>
    </row>
    <row r="69" spans="1:20" x14ac:dyDescent="0.35">
      <c r="A69" s="9">
        <v>42004</v>
      </c>
      <c r="B69" s="10">
        <v>57153727400</v>
      </c>
      <c r="C69" s="10">
        <v>4357060270</v>
      </c>
      <c r="D69" s="10">
        <v>2158934000</v>
      </c>
      <c r="E69" s="10">
        <v>2315966000</v>
      </c>
      <c r="F69" s="10"/>
      <c r="G69" s="10"/>
      <c r="H69" s="10">
        <v>-496.1890411512199</v>
      </c>
      <c r="I69" s="10">
        <v>9662995000</v>
      </c>
      <c r="J69" s="10">
        <v>28147460300</v>
      </c>
      <c r="K69" s="10">
        <v>18854410600</v>
      </c>
      <c r="L69" s="10">
        <v>20609482500</v>
      </c>
      <c r="M69" s="10">
        <v>1.0900000000000001</v>
      </c>
      <c r="N69" s="10">
        <v>36544244900</v>
      </c>
      <c r="O69" s="10">
        <v>4357060270</v>
      </c>
      <c r="P69" s="10" t="s">
        <v>26</v>
      </c>
      <c r="Q69" s="10" t="s">
        <v>22</v>
      </c>
      <c r="R69" s="10">
        <v>32.517537080180006</v>
      </c>
      <c r="S69" s="10" t="s">
        <v>39</v>
      </c>
      <c r="T69" s="10" t="s">
        <v>140</v>
      </c>
    </row>
    <row r="70" spans="1:20" x14ac:dyDescent="0.35">
      <c r="A70" s="9">
        <v>42369</v>
      </c>
      <c r="B70" s="10">
        <v>66662214000</v>
      </c>
      <c r="C70" s="10">
        <v>6555576920</v>
      </c>
      <c r="D70" s="10">
        <v>3847857000</v>
      </c>
      <c r="E70" s="10">
        <v>4008880000</v>
      </c>
      <c r="F70" s="10"/>
      <c r="G70" s="10"/>
      <c r="H70" s="10">
        <v>38.549865402122414</v>
      </c>
      <c r="I70" s="10">
        <v>11907300000</v>
      </c>
      <c r="J70" s="10"/>
      <c r="K70" s="10"/>
      <c r="L70" s="10">
        <v>22758529000</v>
      </c>
      <c r="M70" s="10">
        <v>1.64</v>
      </c>
      <c r="N70" s="10">
        <v>43903685000</v>
      </c>
      <c r="O70" s="10">
        <v>6555576920</v>
      </c>
      <c r="P70" s="10" t="s">
        <v>26</v>
      </c>
      <c r="Q70" s="10" t="s">
        <v>22</v>
      </c>
      <c r="R70" s="10"/>
      <c r="S70" s="10" t="s">
        <v>39</v>
      </c>
      <c r="T70" s="10" t="s">
        <v>140</v>
      </c>
    </row>
    <row r="71" spans="1:20" x14ac:dyDescent="0.35">
      <c r="A71" s="9">
        <v>42735</v>
      </c>
      <c r="B71" s="10">
        <v>79127519000</v>
      </c>
      <c r="C71" s="10">
        <v>9113850840</v>
      </c>
      <c r="D71" s="10">
        <v>4707800000</v>
      </c>
      <c r="E71" s="10">
        <v>4868900000</v>
      </c>
      <c r="F71" s="10"/>
      <c r="G71" s="10"/>
      <c r="H71" s="10">
        <v>41.226407854643945</v>
      </c>
      <c r="I71" s="10">
        <v>14295617000</v>
      </c>
      <c r="J71" s="10">
        <v>36822419000</v>
      </c>
      <c r="K71" s="10">
        <v>26655654000</v>
      </c>
      <c r="L71" s="10">
        <v>25940249000</v>
      </c>
      <c r="M71" s="10">
        <v>2.2799999999999998</v>
      </c>
      <c r="N71" s="10">
        <v>53187270000</v>
      </c>
      <c r="O71" s="10">
        <v>9113850840</v>
      </c>
      <c r="P71" s="10" t="s">
        <v>26</v>
      </c>
      <c r="Q71" s="10" t="s">
        <v>22</v>
      </c>
      <c r="R71" s="10">
        <v>42.763793718845143</v>
      </c>
      <c r="S71" s="10" t="s">
        <v>39</v>
      </c>
      <c r="T71" s="10" t="s">
        <v>140</v>
      </c>
    </row>
    <row r="72" spans="1:20" x14ac:dyDescent="0.35">
      <c r="A72" s="9">
        <v>43100</v>
      </c>
      <c r="B72" s="10">
        <v>95490748000</v>
      </c>
      <c r="C72" s="10">
        <v>15149778370</v>
      </c>
      <c r="D72" s="10">
        <v>6921388000</v>
      </c>
      <c r="E72" s="10">
        <v>7105752000</v>
      </c>
      <c r="F72" s="10"/>
      <c r="G72" s="10"/>
      <c r="H72" s="10">
        <v>312.11922722220908</v>
      </c>
      <c r="I72" s="10">
        <v>15592641000</v>
      </c>
      <c r="J72" s="10">
        <v>45460670000</v>
      </c>
      <c r="K72" s="10">
        <v>35502780000</v>
      </c>
      <c r="L72" s="10">
        <v>29474189000</v>
      </c>
      <c r="M72" s="10">
        <v>3.79</v>
      </c>
      <c r="N72" s="10">
        <v>66016559000</v>
      </c>
      <c r="O72" s="10">
        <v>15149778370</v>
      </c>
      <c r="P72" s="10" t="s">
        <v>26</v>
      </c>
      <c r="Q72" s="10" t="s">
        <v>22</v>
      </c>
      <c r="R72" s="10">
        <v>42.156955352365657</v>
      </c>
      <c r="S72" s="10" t="s">
        <v>39</v>
      </c>
      <c r="T72" s="10" t="s">
        <v>140</v>
      </c>
    </row>
    <row r="73" spans="1:20" x14ac:dyDescent="0.35">
      <c r="A73" s="9">
        <v>43465</v>
      </c>
      <c r="B73" s="10">
        <v>132054540000</v>
      </c>
      <c r="C73" s="10">
        <v>12311693240</v>
      </c>
      <c r="D73" s="10">
        <v>7216546000</v>
      </c>
      <c r="E73" s="10">
        <v>7450012000</v>
      </c>
      <c r="F73" s="10"/>
      <c r="G73" s="10"/>
      <c r="H73" s="10">
        <v>19.935860387067248</v>
      </c>
      <c r="I73" s="10">
        <v>19593790000</v>
      </c>
      <c r="J73" s="10">
        <v>76867630000</v>
      </c>
      <c r="K73" s="10">
        <v>58532995000</v>
      </c>
      <c r="L73" s="10">
        <v>32804940000</v>
      </c>
      <c r="M73" s="10">
        <v>3.08</v>
      </c>
      <c r="N73" s="10">
        <v>99249600000</v>
      </c>
      <c r="O73" s="10">
        <v>12311693240</v>
      </c>
      <c r="P73" s="10" t="s">
        <v>26</v>
      </c>
      <c r="Q73" s="10" t="s">
        <v>22</v>
      </c>
      <c r="R73" s="10">
        <v>70.359870247550745</v>
      </c>
      <c r="S73" s="10" t="s">
        <v>39</v>
      </c>
      <c r="T73" s="10" t="s">
        <v>140</v>
      </c>
    </row>
    <row r="74" spans="1:20" x14ac:dyDescent="0.35">
      <c r="A74" s="9">
        <v>43830</v>
      </c>
      <c r="B74" s="10">
        <v>162496955000</v>
      </c>
      <c r="C74" s="10">
        <v>21548295600</v>
      </c>
      <c r="D74" s="10">
        <v>10467308000</v>
      </c>
      <c r="E74" s="10">
        <v>10740314000</v>
      </c>
      <c r="F74" s="10"/>
      <c r="G74" s="10"/>
      <c r="H74" s="10">
        <v>50.574219553778768</v>
      </c>
      <c r="I74" s="10">
        <v>26041632000</v>
      </c>
      <c r="J74" s="10">
        <v>99618235000</v>
      </c>
      <c r="K74" s="10">
        <v>76846237000</v>
      </c>
      <c r="L74" s="10">
        <v>38907028000</v>
      </c>
      <c r="M74" s="10">
        <v>5.2</v>
      </c>
      <c r="N74" s="10">
        <v>123589927000</v>
      </c>
      <c r="O74" s="10">
        <v>21548295600</v>
      </c>
      <c r="P74" s="10" t="s">
        <v>26</v>
      </c>
      <c r="Q74" s="10" t="s">
        <v>22</v>
      </c>
      <c r="R74" s="10">
        <v>39.438643019495352</v>
      </c>
      <c r="S74" s="10" t="s">
        <v>39</v>
      </c>
      <c r="T74" s="10" t="s">
        <v>140</v>
      </c>
    </row>
    <row r="75" spans="1:20" x14ac:dyDescent="0.35">
      <c r="A75" s="9">
        <v>44196</v>
      </c>
      <c r="B75" s="10">
        <v>195131513000</v>
      </c>
      <c r="C75" s="10">
        <v>22161856050</v>
      </c>
      <c r="D75" s="10">
        <v>14094305000</v>
      </c>
      <c r="E75" s="10">
        <v>14373811000</v>
      </c>
      <c r="F75" s="10"/>
      <c r="G75" s="10"/>
      <c r="H75" s="10">
        <v>-235.12032713275607</v>
      </c>
      <c r="I75" s="10">
        <v>35495300000</v>
      </c>
      <c r="J75" s="10">
        <v>121488932000</v>
      </c>
      <c r="K75" s="10">
        <v>89330138000</v>
      </c>
      <c r="L75" s="10">
        <v>51801166000</v>
      </c>
      <c r="M75" s="10">
        <v>5.35</v>
      </c>
      <c r="N75" s="10">
        <v>143330347000</v>
      </c>
      <c r="O75" s="10">
        <v>22161856050</v>
      </c>
      <c r="P75" s="10" t="s">
        <v>26</v>
      </c>
      <c r="Q75" s="10" t="s">
        <v>22</v>
      </c>
      <c r="R75" s="10">
        <v>39.82231562976709</v>
      </c>
      <c r="S75" s="10" t="s">
        <v>39</v>
      </c>
      <c r="T75" s="10" t="s">
        <v>140</v>
      </c>
    </row>
    <row r="76" spans="1:20" x14ac:dyDescent="0.35">
      <c r="A76" s="9">
        <v>44561</v>
      </c>
      <c r="B76" s="10"/>
      <c r="C76" s="10">
        <v>16892844240</v>
      </c>
      <c r="D76" s="10">
        <v>13007826000</v>
      </c>
      <c r="E76" s="10">
        <v>13302932000</v>
      </c>
      <c r="F76" s="10"/>
      <c r="G76" s="10"/>
      <c r="H76" s="10"/>
      <c r="I76" s="10">
        <v>39902461000</v>
      </c>
      <c r="J76" s="10"/>
      <c r="K76" s="10"/>
      <c r="L76" s="10"/>
      <c r="M76" s="10">
        <v>4.08</v>
      </c>
      <c r="N76" s="10"/>
      <c r="O76" s="10">
        <v>16892844240</v>
      </c>
      <c r="P76" s="10" t="s">
        <v>26</v>
      </c>
      <c r="Q76" s="10" t="s">
        <v>22</v>
      </c>
      <c r="R76" s="10"/>
      <c r="S76" s="10" t="s">
        <v>39</v>
      </c>
      <c r="T76" s="10" t="s">
        <v>140</v>
      </c>
    </row>
    <row r="77" spans="1:20" x14ac:dyDescent="0.35">
      <c r="A77" s="9">
        <v>44926</v>
      </c>
      <c r="B77" s="10"/>
      <c r="C77" s="10">
        <v>6500432710</v>
      </c>
      <c r="D77" s="10">
        <v>4535585000</v>
      </c>
      <c r="E77" s="10">
        <v>4848684000</v>
      </c>
      <c r="F77" s="10"/>
      <c r="G77" s="10"/>
      <c r="H77" s="10"/>
      <c r="I77" s="10">
        <v>31377857000</v>
      </c>
      <c r="J77" s="10"/>
      <c r="K77" s="10"/>
      <c r="L77" s="10"/>
      <c r="M77" s="10">
        <v>1.57</v>
      </c>
      <c r="N77" s="10"/>
      <c r="O77" s="10">
        <v>6500432710</v>
      </c>
      <c r="P77" s="10" t="s">
        <v>26</v>
      </c>
      <c r="Q77" s="10" t="s">
        <v>22</v>
      </c>
      <c r="R77" s="10"/>
      <c r="S77" s="10" t="s">
        <v>39</v>
      </c>
      <c r="T77" s="10" t="s">
        <v>140</v>
      </c>
    </row>
    <row r="78" spans="1:20" x14ac:dyDescent="0.35">
      <c r="A78" s="9">
        <v>45291</v>
      </c>
      <c r="B78" s="10"/>
      <c r="C78" s="10">
        <v>3022494190</v>
      </c>
      <c r="D78" s="10">
        <v>-1000527000</v>
      </c>
      <c r="E78" s="10">
        <v>-652386000</v>
      </c>
      <c r="F78" s="10"/>
      <c r="G78" s="10"/>
      <c r="H78" s="10"/>
      <c r="I78" s="10">
        <v>22903847000</v>
      </c>
      <c r="J78" s="10"/>
      <c r="K78" s="10"/>
      <c r="L78" s="10"/>
      <c r="M78" s="10">
        <v>0.73</v>
      </c>
      <c r="N78" s="10"/>
      <c r="O78" s="10">
        <v>3022494190</v>
      </c>
      <c r="P78" s="10" t="s">
        <v>26</v>
      </c>
      <c r="Q78" s="10" t="s">
        <v>22</v>
      </c>
      <c r="R78" s="10"/>
      <c r="S78" s="10" t="s">
        <v>39</v>
      </c>
      <c r="T78" s="10" t="s">
        <v>140</v>
      </c>
    </row>
    <row r="79" spans="1:20" x14ac:dyDescent="0.35">
      <c r="A79" s="9">
        <v>45657</v>
      </c>
      <c r="B79" s="10"/>
      <c r="C79" s="10">
        <v>1842479335</v>
      </c>
      <c r="D79" s="10">
        <v>-3075053000</v>
      </c>
      <c r="E79" s="10">
        <v>-2712601000</v>
      </c>
      <c r="F79" s="10"/>
      <c r="G79" s="10"/>
      <c r="H79" s="10"/>
      <c r="I79" s="10">
        <v>25757351000</v>
      </c>
      <c r="J79" s="10"/>
      <c r="K79" s="10"/>
      <c r="L79" s="10"/>
      <c r="M79" s="10">
        <v>0.44500000000000001</v>
      </c>
      <c r="N79" s="10"/>
      <c r="O79" s="10">
        <v>1842479335</v>
      </c>
      <c r="P79" s="10" t="s">
        <v>26</v>
      </c>
      <c r="Q79" s="10" t="s">
        <v>22</v>
      </c>
      <c r="R79" s="10"/>
      <c r="S79" s="10" t="s">
        <v>39</v>
      </c>
      <c r="T79" s="10" t="s">
        <v>140</v>
      </c>
    </row>
    <row r="80" spans="1:20" x14ac:dyDescent="0.35">
      <c r="A80" s="9">
        <v>41274</v>
      </c>
      <c r="B80" s="10">
        <v>32710619895</v>
      </c>
      <c r="C80" s="10">
        <v>8308085947.5</v>
      </c>
      <c r="D80" s="10">
        <v>787979286.03999996</v>
      </c>
      <c r="E80" s="10">
        <v>804612098.35000002</v>
      </c>
      <c r="F80" s="10"/>
      <c r="G80" s="10">
        <v>0.17728440012297134</v>
      </c>
      <c r="H80" s="10">
        <v>42.157933942687578</v>
      </c>
      <c r="I80" s="10">
        <v>5452346274.71</v>
      </c>
      <c r="J80" s="10">
        <v>15875367561.93</v>
      </c>
      <c r="K80" s="10">
        <v>9862259817.1499996</v>
      </c>
      <c r="L80" s="10">
        <v>3879655925.0100002</v>
      </c>
      <c r="M80" s="10">
        <v>15.5</v>
      </c>
      <c r="N80" s="10">
        <v>12565688275.85</v>
      </c>
      <c r="O80" s="10">
        <v>8308085947.5</v>
      </c>
      <c r="P80" s="10" t="s">
        <v>26</v>
      </c>
      <c r="Q80" s="10" t="s">
        <v>28</v>
      </c>
      <c r="R80" s="10">
        <v>37.77805232665856</v>
      </c>
      <c r="S80" s="10" t="s">
        <v>41</v>
      </c>
      <c r="T80" s="10" t="s">
        <v>140</v>
      </c>
    </row>
    <row r="81" spans="1:20" x14ac:dyDescent="0.35">
      <c r="A81" s="9">
        <v>41639</v>
      </c>
      <c r="B81" s="10">
        <v>22510619765</v>
      </c>
      <c r="C81" s="10">
        <v>9699057605.1499996</v>
      </c>
      <c r="D81" s="10">
        <v>897777736.09000003</v>
      </c>
      <c r="E81" s="10">
        <v>911497534.91999996</v>
      </c>
      <c r="F81" s="10"/>
      <c r="G81" s="10">
        <v>-9.3151498186995401</v>
      </c>
      <c r="H81" s="10">
        <v>-332.64732841334637</v>
      </c>
      <c r="I81" s="10">
        <v>7444185000.75</v>
      </c>
      <c r="J81" s="10">
        <v>32597223847.16</v>
      </c>
      <c r="K81" s="10">
        <v>20051763378.52</v>
      </c>
      <c r="L81" s="10">
        <v>4297704442.9700003</v>
      </c>
      <c r="M81" s="10">
        <v>9.2899999999999991</v>
      </c>
      <c r="N81" s="10">
        <v>28412915452.029999</v>
      </c>
      <c r="O81" s="10">
        <v>9699057605.1499996</v>
      </c>
      <c r="P81" s="10" t="s">
        <v>26</v>
      </c>
      <c r="Q81" s="10" t="s">
        <v>28</v>
      </c>
      <c r="R81" s="10">
        <v>37.830503487008279</v>
      </c>
      <c r="S81" s="10" t="s">
        <v>41</v>
      </c>
      <c r="T81" s="10" t="s">
        <v>140</v>
      </c>
    </row>
    <row r="82" spans="1:20" x14ac:dyDescent="0.35">
      <c r="A82" s="9">
        <v>42004</v>
      </c>
      <c r="B82" s="10">
        <v>46229436628.150002</v>
      </c>
      <c r="C82" s="10">
        <v>17812346856.579998</v>
      </c>
      <c r="D82" s="10">
        <v>1902642360.29</v>
      </c>
      <c r="E82" s="10">
        <v>1917345446.6800001</v>
      </c>
      <c r="F82" s="10"/>
      <c r="G82" s="10">
        <v>-4.1356007360262366</v>
      </c>
      <c r="H82" s="10">
        <v>-666.05232471777742</v>
      </c>
      <c r="I82" s="10">
        <v>13894125701.530001</v>
      </c>
      <c r="J82" s="10">
        <v>45551487595.25</v>
      </c>
      <c r="K82" s="10">
        <v>31237025856.73</v>
      </c>
      <c r="L82" s="10">
        <v>7078599189</v>
      </c>
      <c r="M82" s="10">
        <v>13.87</v>
      </c>
      <c r="N82" s="10">
        <v>39150837439.150002</v>
      </c>
      <c r="O82" s="10">
        <v>17812346856.579998</v>
      </c>
      <c r="P82" s="10" t="s">
        <v>26</v>
      </c>
      <c r="Q82" s="10" t="s">
        <v>28</v>
      </c>
      <c r="R82" s="10">
        <v>43.827495451723856</v>
      </c>
      <c r="S82" s="10" t="s">
        <v>41</v>
      </c>
      <c r="T82" s="10" t="s">
        <v>140</v>
      </c>
    </row>
    <row r="83" spans="1:20" x14ac:dyDescent="0.35">
      <c r="A83" s="9">
        <v>42369</v>
      </c>
      <c r="B83" s="10">
        <v>70173296581.339996</v>
      </c>
      <c r="C83" s="10">
        <v>36253439154.449997</v>
      </c>
      <c r="D83" s="10">
        <v>2359397572.5100002</v>
      </c>
      <c r="E83" s="10">
        <v>2375807443.3400002</v>
      </c>
      <c r="F83" s="10"/>
      <c r="G83" s="10">
        <v>-1.9352308002368932</v>
      </c>
      <c r="H83" s="10">
        <v>-37.948309723237763</v>
      </c>
      <c r="I83" s="10">
        <v>22379969159.299999</v>
      </c>
      <c r="J83" s="10">
        <v>67975944661.169998</v>
      </c>
      <c r="K83" s="10">
        <v>40211446077.18</v>
      </c>
      <c r="L83" s="10">
        <v>13742102035.110001</v>
      </c>
      <c r="M83" s="10">
        <v>9.0299999999999994</v>
      </c>
      <c r="N83" s="10">
        <v>56431194546.230003</v>
      </c>
      <c r="O83" s="10">
        <v>36253439154.449997</v>
      </c>
      <c r="P83" s="10" t="s">
        <v>26</v>
      </c>
      <c r="Q83" s="10" t="s">
        <v>28</v>
      </c>
      <c r="R83" s="10">
        <v>53.073688690055853</v>
      </c>
      <c r="S83" s="10" t="s">
        <v>41</v>
      </c>
      <c r="T83" s="10" t="s">
        <v>140</v>
      </c>
    </row>
    <row r="84" spans="1:20" x14ac:dyDescent="0.35">
      <c r="A84" s="9">
        <v>42735</v>
      </c>
      <c r="B84" s="10">
        <v>120430521732.34</v>
      </c>
      <c r="C84" s="10">
        <v>22558908364.550003</v>
      </c>
      <c r="D84" s="10">
        <v>2069210435.97</v>
      </c>
      <c r="E84" s="10">
        <v>2094281977.8900001</v>
      </c>
      <c r="F84" s="10"/>
      <c r="G84" s="10">
        <v>-1.5296864044253213</v>
      </c>
      <c r="H84" s="10">
        <v>-93.870853024226449</v>
      </c>
      <c r="I84" s="10">
        <v>19598020109.650002</v>
      </c>
      <c r="J84" s="10">
        <v>114560780211.86</v>
      </c>
      <c r="K84" s="10">
        <v>52151380136.650002</v>
      </c>
      <c r="L84" s="10">
        <v>18924358539.259998</v>
      </c>
      <c r="M84" s="10">
        <v>5.57</v>
      </c>
      <c r="N84" s="10">
        <v>101506163193.08</v>
      </c>
      <c r="O84" s="10">
        <v>22558908364.549999</v>
      </c>
      <c r="P84" s="10" t="s">
        <v>26</v>
      </c>
      <c r="Q84" s="10" t="s">
        <v>28</v>
      </c>
      <c r="R84" s="10">
        <v>56.440035283868816</v>
      </c>
      <c r="S84" s="10" t="s">
        <v>41</v>
      </c>
      <c r="T84" s="10" t="s">
        <v>140</v>
      </c>
    </row>
    <row r="85" spans="1:20" x14ac:dyDescent="0.35">
      <c r="A85" s="9">
        <v>43100</v>
      </c>
      <c r="B85" s="10">
        <v>213250070291.78</v>
      </c>
      <c r="C85" s="10">
        <v>31874076989.049999</v>
      </c>
      <c r="D85" s="10">
        <v>3830813582.4299998</v>
      </c>
      <c r="E85" s="10">
        <v>3920604286.21</v>
      </c>
      <c r="F85" s="10"/>
      <c r="G85" s="10">
        <v>3.3414039802560427</v>
      </c>
      <c r="H85" s="10">
        <v>53.403399704849932</v>
      </c>
      <c r="I85" s="10">
        <v>33163130244.669998</v>
      </c>
      <c r="J85" s="10">
        <v>198412962248.14001</v>
      </c>
      <c r="K85" s="10">
        <v>117096645888.05</v>
      </c>
      <c r="L85" s="10">
        <v>30569582412.459999</v>
      </c>
      <c r="M85" s="10">
        <v>7.87</v>
      </c>
      <c r="N85" s="10">
        <v>182680487879.32001</v>
      </c>
      <c r="O85" s="10">
        <v>31874076989.049995</v>
      </c>
      <c r="P85" s="10" t="s">
        <v>26</v>
      </c>
      <c r="Q85" s="10" t="s">
        <v>28</v>
      </c>
      <c r="R85" s="10">
        <v>53.218133936443792</v>
      </c>
      <c r="S85" s="10" t="s">
        <v>41</v>
      </c>
      <c r="T85" s="10" t="s">
        <v>140</v>
      </c>
    </row>
    <row r="86" spans="1:20" x14ac:dyDescent="0.35">
      <c r="A86" s="9">
        <v>43465</v>
      </c>
      <c r="B86" s="10">
        <v>263396626378.32001</v>
      </c>
      <c r="C86" s="10">
        <v>21019880504.850002</v>
      </c>
      <c r="D86" s="10">
        <v>6748431813.0299997</v>
      </c>
      <c r="E86" s="10">
        <v>6992158010.2600002</v>
      </c>
      <c r="F86" s="10"/>
      <c r="G86" s="10">
        <v>4.0159870917040763</v>
      </c>
      <c r="H86" s="10">
        <v>-6579.0523789407644</v>
      </c>
      <c r="I86" s="10">
        <v>56470090684.379997</v>
      </c>
      <c r="J86" s="10">
        <v>235375749023.39999</v>
      </c>
      <c r="K86" s="10">
        <v>156838308246.73001</v>
      </c>
      <c r="L86" s="10">
        <v>41029804381.93</v>
      </c>
      <c r="M86" s="10">
        <v>5.19</v>
      </c>
      <c r="N86" s="10">
        <v>222366821996.39001</v>
      </c>
      <c r="O86" s="10">
        <v>21019880504.849998</v>
      </c>
      <c r="P86" s="10" t="s">
        <v>26</v>
      </c>
      <c r="Q86" s="10" t="s">
        <v>28</v>
      </c>
      <c r="R86" s="10">
        <v>42.754279512597861</v>
      </c>
      <c r="S86" s="10" t="s">
        <v>41</v>
      </c>
      <c r="T86" s="10" t="s">
        <v>140</v>
      </c>
    </row>
    <row r="87" spans="1:20" x14ac:dyDescent="0.35">
      <c r="A87" s="9">
        <v>43830</v>
      </c>
      <c r="B87" s="10">
        <v>307551883939.17999</v>
      </c>
      <c r="C87" s="10">
        <v>34696970802.5</v>
      </c>
      <c r="D87" s="10">
        <v>7374247805.9899998</v>
      </c>
      <c r="E87" s="10">
        <v>7561040260.4700003</v>
      </c>
      <c r="F87" s="10"/>
      <c r="G87" s="10">
        <v>2.7617979656274279</v>
      </c>
      <c r="H87" s="10">
        <v>374.10378539794414</v>
      </c>
      <c r="I87" s="10">
        <v>61049371313.199997</v>
      </c>
      <c r="J87" s="10">
        <v>272499068919.54001</v>
      </c>
      <c r="K87" s="10">
        <v>176758015778.57001</v>
      </c>
      <c r="L87" s="10">
        <v>50898779412.010002</v>
      </c>
      <c r="M87" s="10">
        <v>8.5</v>
      </c>
      <c r="N87" s="10">
        <v>256653104527.17001</v>
      </c>
      <c r="O87" s="10">
        <v>34696970802.5</v>
      </c>
      <c r="P87" s="10" t="s">
        <v>26</v>
      </c>
      <c r="Q87" s="10" t="s">
        <v>28</v>
      </c>
      <c r="R87" s="10">
        <v>36.520937044548241</v>
      </c>
      <c r="S87" s="10" t="s">
        <v>41</v>
      </c>
      <c r="T87" s="10" t="s">
        <v>140</v>
      </c>
    </row>
    <row r="88" spans="1:20" x14ac:dyDescent="0.35">
      <c r="A88" s="9">
        <v>44196</v>
      </c>
      <c r="B88" s="10">
        <v>352301853054.58002</v>
      </c>
      <c r="C88" s="10">
        <v>26970119528</v>
      </c>
      <c r="D88" s="10">
        <v>9332736269.0300007</v>
      </c>
      <c r="E88" s="10">
        <v>9536167994.2600002</v>
      </c>
      <c r="F88" s="10"/>
      <c r="G88" s="10">
        <v>4.0195457594906179</v>
      </c>
      <c r="H88" s="10">
        <v>501.82079044272456</v>
      </c>
      <c r="I88" s="10">
        <v>82171244467.279999</v>
      </c>
      <c r="J88" s="10">
        <v>301487553918.09003</v>
      </c>
      <c r="K88" s="10">
        <v>218042545456.51999</v>
      </c>
      <c r="L88" s="10">
        <v>59257255055.849998</v>
      </c>
      <c r="M88" s="10">
        <v>6.52</v>
      </c>
      <c r="N88" s="10">
        <v>293044597998.72998</v>
      </c>
      <c r="O88" s="10">
        <v>26970119528</v>
      </c>
      <c r="P88" s="10" t="s">
        <v>26</v>
      </c>
      <c r="Q88" s="10" t="s">
        <v>28</v>
      </c>
      <c r="R88" s="10">
        <v>29.467738653667112</v>
      </c>
      <c r="S88" s="10" t="s">
        <v>41</v>
      </c>
      <c r="T88" s="10" t="s">
        <v>140</v>
      </c>
    </row>
    <row r="89" spans="1:20" x14ac:dyDescent="0.35">
      <c r="A89" s="9">
        <v>44561</v>
      </c>
      <c r="B89" s="10">
        <v>358270770161.59003</v>
      </c>
      <c r="C89" s="10">
        <v>12503956509</v>
      </c>
      <c r="D89" s="10">
        <v>-6299256113.6999998</v>
      </c>
      <c r="E89" s="10">
        <v>-6009128634.5500002</v>
      </c>
      <c r="F89" s="10"/>
      <c r="G89" s="10">
        <v>-3.0555458015943562</v>
      </c>
      <c r="H89" s="10">
        <v>-33.918565710209315</v>
      </c>
      <c r="I89" s="10">
        <v>42526483702.699997</v>
      </c>
      <c r="J89" s="10">
        <v>305402224291.16998</v>
      </c>
      <c r="K89" s="10">
        <v>269942380044.91</v>
      </c>
      <c r="L89" s="10">
        <v>42110509024.860001</v>
      </c>
      <c r="M89" s="10">
        <v>3.02</v>
      </c>
      <c r="N89" s="10">
        <v>316160261136.72998</v>
      </c>
      <c r="O89" s="10">
        <v>12503956509</v>
      </c>
      <c r="P89" s="10" t="s">
        <v>26</v>
      </c>
      <c r="Q89" s="10" t="s">
        <v>28</v>
      </c>
      <c r="R89" s="10">
        <v>23.533433502638886</v>
      </c>
      <c r="S89" s="10" t="s">
        <v>41</v>
      </c>
      <c r="T89" s="10" t="s">
        <v>140</v>
      </c>
    </row>
    <row r="90" spans="1:20" x14ac:dyDescent="0.35">
      <c r="A90" s="9">
        <v>44926</v>
      </c>
      <c r="B90" s="10">
        <v>299692701429.04999</v>
      </c>
      <c r="C90" s="10">
        <v>7783919946</v>
      </c>
      <c r="D90" s="10">
        <v>-7807154472</v>
      </c>
      <c r="E90" s="10">
        <v>-7596118473.9399996</v>
      </c>
      <c r="F90" s="10"/>
      <c r="G90" s="10">
        <v>0.6451413803312237</v>
      </c>
      <c r="H90" s="10">
        <v>38.404468612898533</v>
      </c>
      <c r="I90" s="10">
        <v>39918575305.160004</v>
      </c>
      <c r="J90" s="10">
        <v>250371441503.17001</v>
      </c>
      <c r="K90" s="10">
        <v>253044756551</v>
      </c>
      <c r="L90" s="10">
        <v>25055854044.009998</v>
      </c>
      <c r="M90" s="10">
        <v>1.88</v>
      </c>
      <c r="N90" s="10">
        <v>274636847385.04001</v>
      </c>
      <c r="O90" s="10">
        <v>7783919946</v>
      </c>
      <c r="P90" s="10" t="s">
        <v>26</v>
      </c>
      <c r="Q90" s="10" t="s">
        <v>28</v>
      </c>
      <c r="R90" s="10">
        <v>25.929230559872941</v>
      </c>
      <c r="S90" s="10" t="s">
        <v>41</v>
      </c>
      <c r="T90" s="10" t="s">
        <v>140</v>
      </c>
    </row>
    <row r="91" spans="1:20" x14ac:dyDescent="0.35">
      <c r="A91" s="9">
        <v>45291</v>
      </c>
      <c r="B91" s="10">
        <v>242714294467.29999</v>
      </c>
      <c r="C91" s="10"/>
      <c r="D91" s="10">
        <v>-3758724007.7199998</v>
      </c>
      <c r="E91" s="10">
        <v>-3567708844.75</v>
      </c>
      <c r="F91" s="10"/>
      <c r="G91" s="10">
        <v>-0.3198067784890658</v>
      </c>
      <c r="H91" s="10">
        <v>-33.512111470730979</v>
      </c>
      <c r="I91" s="10">
        <v>47776551800.040001</v>
      </c>
      <c r="J91" s="10">
        <v>205394599696.32999</v>
      </c>
      <c r="K91" s="10">
        <v>221894500397.82999</v>
      </c>
      <c r="L91" s="10">
        <v>9164289388.6800003</v>
      </c>
      <c r="M91" s="10">
        <v>0.37</v>
      </c>
      <c r="N91" s="10">
        <v>233550005078.62</v>
      </c>
      <c r="O91" s="10"/>
      <c r="P91" s="10" t="s">
        <v>26</v>
      </c>
      <c r="Q91" s="10" t="s">
        <v>28</v>
      </c>
      <c r="R91" s="10">
        <v>30.413583351076689</v>
      </c>
      <c r="S91" s="10" t="s">
        <v>41</v>
      </c>
      <c r="T91" s="10" t="s">
        <v>140</v>
      </c>
    </row>
    <row r="92" spans="1:20" x14ac:dyDescent="0.35">
      <c r="A92" s="9">
        <v>45657</v>
      </c>
      <c r="B92" s="10">
        <v>181629121593.95999</v>
      </c>
      <c r="C92" s="10"/>
      <c r="D92" s="10">
        <v>-14382333926.58</v>
      </c>
      <c r="E92" s="10">
        <v>-14198931178.360001</v>
      </c>
      <c r="F92" s="10"/>
      <c r="G92" s="10">
        <v>-4.661385315180043E-2</v>
      </c>
      <c r="H92" s="10">
        <v>-19.64230382791995</v>
      </c>
      <c r="I92" s="10">
        <v>34086664015.360001</v>
      </c>
      <c r="J92" s="10">
        <v>150407630432.01999</v>
      </c>
      <c r="K92" s="10">
        <v>189389863857.63</v>
      </c>
      <c r="L92" s="10">
        <v>-16363232375.35</v>
      </c>
      <c r="M92" s="10">
        <v>0.37</v>
      </c>
      <c r="N92" s="10">
        <v>197992353969.31</v>
      </c>
      <c r="O92" s="10"/>
      <c r="P92" s="10" t="s">
        <v>26</v>
      </c>
      <c r="Q92" s="10" t="s">
        <v>28</v>
      </c>
      <c r="R92" s="10">
        <v>36.53469292866783</v>
      </c>
      <c r="S92" s="10" t="s">
        <v>41</v>
      </c>
      <c r="T92" s="10" t="s">
        <v>140</v>
      </c>
    </row>
    <row r="93" spans="1:20" x14ac:dyDescent="0.35">
      <c r="A93" s="9">
        <v>41274</v>
      </c>
      <c r="B93" s="10">
        <v>74093810903.270004</v>
      </c>
      <c r="C93" s="10">
        <v>24896596236.299999</v>
      </c>
      <c r="D93" s="10">
        <v>2496035144.3000002</v>
      </c>
      <c r="E93" s="10">
        <v>2541893474.8200002</v>
      </c>
      <c r="F93" s="10"/>
      <c r="G93" s="10">
        <v>0.11034814566898664</v>
      </c>
      <c r="H93" s="10">
        <v>12.51361735696967</v>
      </c>
      <c r="I93" s="10">
        <v>12076941011.040001</v>
      </c>
      <c r="J93" s="10">
        <v>41923764304.25</v>
      </c>
      <c r="K93" s="10">
        <v>31948141744.150002</v>
      </c>
      <c r="L93" s="10">
        <v>4958593773.9099998</v>
      </c>
      <c r="M93" s="10">
        <v>28.23</v>
      </c>
      <c r="N93" s="10">
        <v>38234854258.779999</v>
      </c>
      <c r="O93" s="10">
        <v>24896596236.299999</v>
      </c>
      <c r="P93" s="10" t="s">
        <v>26</v>
      </c>
      <c r="Q93" s="10" t="s">
        <v>28</v>
      </c>
      <c r="R93" s="10">
        <v>18.118951731005392</v>
      </c>
      <c r="S93" s="10" t="s">
        <v>42</v>
      </c>
      <c r="T93" s="10" t="s">
        <v>140</v>
      </c>
    </row>
    <row r="94" spans="1:20" x14ac:dyDescent="0.35">
      <c r="A94" s="9">
        <v>41639</v>
      </c>
      <c r="B94" s="10">
        <v>52093900903.540001</v>
      </c>
      <c r="C94" s="10">
        <v>26761856634.450001</v>
      </c>
      <c r="D94" s="10">
        <v>3690705175.9099998</v>
      </c>
      <c r="E94" s="10">
        <v>3756161105.5</v>
      </c>
      <c r="F94" s="10"/>
      <c r="G94" s="10">
        <v>-1.2577612792045783</v>
      </c>
      <c r="H94" s="10">
        <v>-76.30024777897809</v>
      </c>
      <c r="I94" s="10">
        <v>21059753648.07</v>
      </c>
      <c r="J94" s="10">
        <v>69348380439.369995</v>
      </c>
      <c r="K94" s="10">
        <v>54415091427.589996</v>
      </c>
      <c r="L94" s="10">
        <v>9955240336.7900009</v>
      </c>
      <c r="M94" s="10">
        <v>20.23</v>
      </c>
      <c r="N94" s="10">
        <v>64138570566.480003</v>
      </c>
      <c r="O94" s="10">
        <v>26761856634.450005</v>
      </c>
      <c r="P94" s="10" t="s">
        <v>26</v>
      </c>
      <c r="Q94" s="10" t="s">
        <v>28</v>
      </c>
      <c r="R94" s="10">
        <v>23.086544380625277</v>
      </c>
      <c r="S94" s="10" t="s">
        <v>42</v>
      </c>
      <c r="T94" s="10" t="s">
        <v>140</v>
      </c>
    </row>
    <row r="95" spans="1:20" x14ac:dyDescent="0.35">
      <c r="A95" s="9">
        <v>42004</v>
      </c>
      <c r="B95" s="10">
        <v>113964189090.03999</v>
      </c>
      <c r="C95" s="10">
        <v>57677555574</v>
      </c>
      <c r="D95" s="10">
        <v>5071253543.3599997</v>
      </c>
      <c r="E95" s="10">
        <v>5196304427.1599998</v>
      </c>
      <c r="F95" s="10"/>
      <c r="G95" s="10">
        <v>-1.2761713746891903</v>
      </c>
      <c r="H95" s="10">
        <v>-113.28180263411996</v>
      </c>
      <c r="I95" s="10">
        <v>26885548491.459999</v>
      </c>
      <c r="J95" s="10">
        <v>107672285237.03999</v>
      </c>
      <c r="K95" s="10">
        <v>84783495096.199997</v>
      </c>
      <c r="L95" s="10">
        <v>17396275759.59</v>
      </c>
      <c r="M95" s="10">
        <v>43.6</v>
      </c>
      <c r="N95" s="10">
        <v>96567913330.449997</v>
      </c>
      <c r="O95" s="10">
        <v>57677555574.000015</v>
      </c>
      <c r="P95" s="10" t="s">
        <v>26</v>
      </c>
      <c r="Q95" s="10" t="s">
        <v>28</v>
      </c>
      <c r="R95" s="10">
        <v>26.944086035762993</v>
      </c>
      <c r="S95" s="10" t="s">
        <v>42</v>
      </c>
      <c r="T95" s="10" t="s">
        <v>140</v>
      </c>
    </row>
    <row r="96" spans="1:20" x14ac:dyDescent="0.35">
      <c r="A96" s="9">
        <v>42369</v>
      </c>
      <c r="B96" s="10">
        <v>168623352113.69</v>
      </c>
      <c r="C96" s="10">
        <v>81277729689.599991</v>
      </c>
      <c r="D96" s="10">
        <v>6919607137.5600004</v>
      </c>
      <c r="E96" s="10">
        <v>7234615545.5900002</v>
      </c>
      <c r="F96" s="10"/>
      <c r="G96" s="10">
        <v>1.4484299673568006</v>
      </c>
      <c r="H96" s="10">
        <v>35.559507078916383</v>
      </c>
      <c r="I96" s="10">
        <v>38334689695.099998</v>
      </c>
      <c r="J96" s="10">
        <v>153765117726.19</v>
      </c>
      <c r="K96" s="10">
        <v>113839397420.94</v>
      </c>
      <c r="L96" s="10">
        <v>25630000117.279999</v>
      </c>
      <c r="M96" s="10">
        <v>30.72</v>
      </c>
      <c r="N96" s="10">
        <v>142993351996.41</v>
      </c>
      <c r="O96" s="10">
        <v>81277729689.600006</v>
      </c>
      <c r="P96" s="10" t="s">
        <v>26</v>
      </c>
      <c r="Q96" s="10" t="s">
        <v>28</v>
      </c>
      <c r="R96" s="10">
        <v>28.327693551711775</v>
      </c>
      <c r="S96" s="10" t="s">
        <v>42</v>
      </c>
      <c r="T96" s="10" t="s">
        <v>140</v>
      </c>
    </row>
    <row r="97" spans="1:20" x14ac:dyDescent="0.35">
      <c r="A97" s="9">
        <v>42735</v>
      </c>
      <c r="B97" s="10">
        <v>249903328792.85999</v>
      </c>
      <c r="C97" s="10">
        <v>70623226345.099991</v>
      </c>
      <c r="D97" s="10">
        <v>9465777114.6499996</v>
      </c>
      <c r="E97" s="10">
        <v>10257017028.01</v>
      </c>
      <c r="F97" s="10"/>
      <c r="G97" s="10">
        <v>1.1354369137796498</v>
      </c>
      <c r="H97" s="10">
        <v>95.905474084592143</v>
      </c>
      <c r="I97" s="10">
        <v>53820587475.870003</v>
      </c>
      <c r="J97" s="10">
        <v>223561173130.66</v>
      </c>
      <c r="K97" s="10">
        <v>159699251161.95999</v>
      </c>
      <c r="L97" s="10">
        <v>38031705326.800003</v>
      </c>
      <c r="M97" s="10">
        <v>23.9</v>
      </c>
      <c r="N97" s="10">
        <v>211871623466.06</v>
      </c>
      <c r="O97" s="10">
        <v>70623226345.100006</v>
      </c>
      <c r="P97" s="10" t="s">
        <v>26</v>
      </c>
      <c r="Q97" s="10" t="s">
        <v>28</v>
      </c>
      <c r="R97" s="10">
        <v>28.1875881016446</v>
      </c>
      <c r="S97" s="10" t="s">
        <v>42</v>
      </c>
      <c r="T97" s="10" t="s">
        <v>140</v>
      </c>
    </row>
    <row r="98" spans="1:20" x14ac:dyDescent="0.35">
      <c r="A98" s="9">
        <v>43100</v>
      </c>
      <c r="B98" s="10">
        <v>375864713853.91998</v>
      </c>
      <c r="C98" s="10">
        <v>92755777195.509995</v>
      </c>
      <c r="D98" s="10">
        <v>13747715433.1</v>
      </c>
      <c r="E98" s="10">
        <v>15228304736.83</v>
      </c>
      <c r="F98" s="10"/>
      <c r="G98" s="10">
        <v>-1.5436383794365462</v>
      </c>
      <c r="H98" s="10">
        <v>-77.865640062061473</v>
      </c>
      <c r="I98" s="10">
        <v>59635420323.190002</v>
      </c>
      <c r="J98" s="10">
        <v>348486284162.78003</v>
      </c>
      <c r="K98" s="10">
        <v>228063688975.89001</v>
      </c>
      <c r="L98" s="10">
        <v>71032553334.960007</v>
      </c>
      <c r="M98" s="10">
        <v>31.39</v>
      </c>
      <c r="N98" s="10">
        <v>304832160518.96002</v>
      </c>
      <c r="O98" s="10">
        <v>92755777195.51001</v>
      </c>
      <c r="P98" s="10" t="s">
        <v>26</v>
      </c>
      <c r="Q98" s="10" t="s">
        <v>28</v>
      </c>
      <c r="R98" s="10">
        <v>29.238266146436203</v>
      </c>
      <c r="S98" s="10" t="s">
        <v>42</v>
      </c>
      <c r="T98" s="10" t="s">
        <v>140</v>
      </c>
    </row>
    <row r="99" spans="1:20" x14ac:dyDescent="0.35">
      <c r="A99" s="9">
        <v>43465</v>
      </c>
      <c r="B99" s="10">
        <v>409711834060</v>
      </c>
      <c r="C99" s="10">
        <v>76432755994.050003</v>
      </c>
      <c r="D99" s="10">
        <v>18320418233.34</v>
      </c>
      <c r="E99" s="10">
        <v>20086384460.18</v>
      </c>
      <c r="F99" s="10"/>
      <c r="G99" s="10">
        <v>-0.51228771218691926</v>
      </c>
      <c r="H99" s="10">
        <v>39.228563798793395</v>
      </c>
      <c r="I99" s="10">
        <v>83798590154.690002</v>
      </c>
      <c r="J99" s="10">
        <v>367960372179.95001</v>
      </c>
      <c r="K99" s="10">
        <v>242594830995.79001</v>
      </c>
      <c r="L99" s="10">
        <v>54715932836.669998</v>
      </c>
      <c r="M99" s="10">
        <v>25.45</v>
      </c>
      <c r="N99" s="10">
        <v>354995901223.33002</v>
      </c>
      <c r="O99" s="10">
        <v>76432755994.050003</v>
      </c>
      <c r="P99" s="10" t="s">
        <v>26</v>
      </c>
      <c r="Q99" s="10" t="s">
        <v>28</v>
      </c>
      <c r="R99" s="10">
        <v>33.66002239184138</v>
      </c>
      <c r="S99" s="10" t="s">
        <v>42</v>
      </c>
      <c r="T99" s="10" t="s">
        <v>140</v>
      </c>
    </row>
    <row r="100" spans="1:20" x14ac:dyDescent="0.35">
      <c r="A100" s="9">
        <v>43830</v>
      </c>
      <c r="B100" s="10">
        <v>457811946545.47998</v>
      </c>
      <c r="C100" s="10">
        <v>86481305588.300003</v>
      </c>
      <c r="D100" s="10">
        <v>24980178343.119999</v>
      </c>
      <c r="E100" s="10">
        <v>26726539563.630001</v>
      </c>
      <c r="F100" s="10"/>
      <c r="G100" s="10">
        <v>-1.3923855468785156</v>
      </c>
      <c r="H100" s="10">
        <v>699.07796159820134</v>
      </c>
      <c r="I100" s="10">
        <v>105209536217.22</v>
      </c>
      <c r="J100" s="10">
        <v>418844487143.47998</v>
      </c>
      <c r="K100" s="10">
        <v>265332164316.34</v>
      </c>
      <c r="L100" s="10">
        <v>73686210928.679993</v>
      </c>
      <c r="M100" s="10">
        <v>28.7</v>
      </c>
      <c r="N100" s="10">
        <v>384125735616.79999</v>
      </c>
      <c r="O100" s="10">
        <v>86481305588.300003</v>
      </c>
      <c r="P100" s="10" t="s">
        <v>26</v>
      </c>
      <c r="Q100" s="10" t="s">
        <v>28</v>
      </c>
      <c r="R100" s="10">
        <v>38.87772027629218</v>
      </c>
      <c r="S100" s="10" t="s">
        <v>42</v>
      </c>
      <c r="T100" s="10" t="s">
        <v>140</v>
      </c>
    </row>
    <row r="101" spans="1:20" x14ac:dyDescent="0.35">
      <c r="A101" s="9">
        <v>44196</v>
      </c>
      <c r="B101" s="10">
        <v>488762358827.09998</v>
      </c>
      <c r="C101" s="10">
        <v>50604404022.059998</v>
      </c>
      <c r="D101" s="10">
        <v>15626914351.67</v>
      </c>
      <c r="E101" s="10">
        <v>17041657314.450001</v>
      </c>
      <c r="F101" s="10"/>
      <c r="G101" s="10">
        <v>-1.2597304907385456</v>
      </c>
      <c r="H101" s="10">
        <v>152.38720539397582</v>
      </c>
      <c r="I101" s="10">
        <v>101208520744.92</v>
      </c>
      <c r="J101" s="10">
        <v>441094575540.88</v>
      </c>
      <c r="K101" s="10">
        <v>285589074591.21997</v>
      </c>
      <c r="L101" s="10">
        <v>91429994507.940002</v>
      </c>
      <c r="M101" s="10">
        <v>12.93</v>
      </c>
      <c r="N101" s="10">
        <v>397332364319.15997</v>
      </c>
      <c r="O101" s="10">
        <v>50604404022.059998</v>
      </c>
      <c r="P101" s="10" t="s">
        <v>26</v>
      </c>
      <c r="Q101" s="10" t="s">
        <v>28</v>
      </c>
      <c r="R101" s="10">
        <v>39.88755079431057</v>
      </c>
      <c r="S101" s="10" t="s">
        <v>42</v>
      </c>
      <c r="T101" s="10" t="s">
        <v>140</v>
      </c>
    </row>
    <row r="102" spans="1:20" x14ac:dyDescent="0.35">
      <c r="A102" s="9">
        <v>44561</v>
      </c>
      <c r="B102" s="10">
        <v>440964154092.08002</v>
      </c>
      <c r="C102" s="10">
        <v>14089393231.200001</v>
      </c>
      <c r="D102" s="10">
        <v>-27708182204.810001</v>
      </c>
      <c r="E102" s="10">
        <v>-26042255167.189999</v>
      </c>
      <c r="F102" s="10"/>
      <c r="G102" s="10">
        <v>0.26944509941585926</v>
      </c>
      <c r="H102" s="10">
        <v>20.960303108177659</v>
      </c>
      <c r="I102" s="10">
        <v>43180812902.959999</v>
      </c>
      <c r="J102" s="10">
        <v>392470413957.64001</v>
      </c>
      <c r="K102" s="10">
        <v>363986865531.94</v>
      </c>
      <c r="L102" s="10">
        <v>23826648797.66</v>
      </c>
      <c r="M102" s="10">
        <v>3.6</v>
      </c>
      <c r="N102" s="10">
        <v>417137505294.41998</v>
      </c>
      <c r="O102" s="10">
        <v>14089393231.200001</v>
      </c>
      <c r="P102" s="10" t="s">
        <v>26</v>
      </c>
      <c r="Q102" s="10" t="s">
        <v>28</v>
      </c>
      <c r="R102" s="10">
        <v>46.722761298073152</v>
      </c>
      <c r="S102" s="10" t="s">
        <v>42</v>
      </c>
      <c r="T102" s="10" t="s">
        <v>140</v>
      </c>
    </row>
    <row r="103" spans="1:20" x14ac:dyDescent="0.35">
      <c r="A103" s="9">
        <v>44926</v>
      </c>
      <c r="B103" s="10">
        <v>408602667889.17999</v>
      </c>
      <c r="C103" s="10">
        <v>9823438058.4200001</v>
      </c>
      <c r="D103" s="10">
        <v>17274742998.419998</v>
      </c>
      <c r="E103" s="10">
        <v>18455064806.27</v>
      </c>
      <c r="F103" s="10"/>
      <c r="G103" s="10">
        <v>-2.393601940842827E-2</v>
      </c>
      <c r="H103" s="10">
        <v>-9.4046405763846934</v>
      </c>
      <c r="I103" s="10">
        <v>31941735559.380001</v>
      </c>
      <c r="J103" s="10">
        <v>364036828788.85999</v>
      </c>
      <c r="K103" s="10">
        <v>237082375948.97</v>
      </c>
      <c r="L103" s="10">
        <v>24336400772.759998</v>
      </c>
      <c r="M103" s="10">
        <v>2.5099999999999998</v>
      </c>
      <c r="N103" s="10">
        <v>384266267116.41998</v>
      </c>
      <c r="O103" s="10">
        <v>9823438058.4200001</v>
      </c>
      <c r="P103" s="10" t="s">
        <v>26</v>
      </c>
      <c r="Q103" s="10" t="s">
        <v>28</v>
      </c>
      <c r="R103" s="10">
        <v>48.8283251043974</v>
      </c>
      <c r="S103" s="10" t="s">
        <v>42</v>
      </c>
      <c r="T103" s="10" t="s">
        <v>140</v>
      </c>
    </row>
    <row r="104" spans="1:20" x14ac:dyDescent="0.35">
      <c r="A104" s="9">
        <v>45291</v>
      </c>
      <c r="B104" s="10">
        <v>351496855879.63</v>
      </c>
      <c r="C104" s="10">
        <v>6809873395.0799999</v>
      </c>
      <c r="D104" s="10">
        <v>16574917.02</v>
      </c>
      <c r="E104" s="10">
        <v>1019618518.83</v>
      </c>
      <c r="F104" s="10"/>
      <c r="G104" s="10">
        <v>0.32373223617615554</v>
      </c>
      <c r="H104" s="10">
        <v>28.204255723962646</v>
      </c>
      <c r="I104" s="10">
        <v>35906571404.029999</v>
      </c>
      <c r="J104" s="10">
        <v>307629490415.39001</v>
      </c>
      <c r="K104" s="10">
        <v>155691338361.34</v>
      </c>
      <c r="L104" s="10">
        <v>21854341987.139999</v>
      </c>
      <c r="M104" s="10">
        <v>1.74</v>
      </c>
      <c r="N104" s="10">
        <v>329642513892.48999</v>
      </c>
      <c r="O104" s="10">
        <v>6809873395.0799999</v>
      </c>
      <c r="P104" s="10" t="s">
        <v>26</v>
      </c>
      <c r="Q104" s="10" t="s">
        <v>28</v>
      </c>
      <c r="R104" s="10">
        <v>53.069953782553981</v>
      </c>
      <c r="S104" s="10" t="s">
        <v>42</v>
      </c>
      <c r="T104" s="10" t="s">
        <v>140</v>
      </c>
    </row>
    <row r="105" spans="1:20" x14ac:dyDescent="0.35">
      <c r="A105" s="9">
        <v>45657</v>
      </c>
      <c r="B105" s="10">
        <v>304389031558.94</v>
      </c>
      <c r="C105" s="10">
        <v>10527907719.98</v>
      </c>
      <c r="D105" s="10">
        <v>736048962.64999998</v>
      </c>
      <c r="E105" s="10">
        <v>1680952284.04</v>
      </c>
      <c r="F105" s="10"/>
      <c r="G105" s="10">
        <v>0.33422223872091378</v>
      </c>
      <c r="H105" s="10">
        <v>368.10944589022881</v>
      </c>
      <c r="I105" s="10">
        <v>23765486138.189999</v>
      </c>
      <c r="J105" s="10">
        <v>263168804631.32001</v>
      </c>
      <c r="K105" s="10">
        <v>139950229050.34</v>
      </c>
      <c r="L105" s="10">
        <v>19236965457.91</v>
      </c>
      <c r="M105" s="10">
        <v>2.69</v>
      </c>
      <c r="N105" s="10">
        <v>285152066101.03003</v>
      </c>
      <c r="O105" s="10">
        <v>10527907719.98</v>
      </c>
      <c r="P105" s="10" t="s">
        <v>26</v>
      </c>
      <c r="Q105" s="10" t="s">
        <v>28</v>
      </c>
      <c r="R105" s="10">
        <v>52.240642653018639</v>
      </c>
      <c r="S105" s="10" t="s">
        <v>42</v>
      </c>
      <c r="T105" s="10" t="s">
        <v>140</v>
      </c>
    </row>
    <row r="106" spans="1:20" x14ac:dyDescent="0.35">
      <c r="A106" s="9">
        <v>41274</v>
      </c>
      <c r="B106" s="10">
        <v>35695370103.330002</v>
      </c>
      <c r="C106" s="10">
        <v>8086565044.3500004</v>
      </c>
      <c r="D106" s="10">
        <v>405407535.30000001</v>
      </c>
      <c r="E106" s="10">
        <v>417124587.13999999</v>
      </c>
      <c r="F106" s="10"/>
      <c r="G106" s="10">
        <v>-2.8947794136238132</v>
      </c>
      <c r="H106" s="10">
        <v>-37.767114139615153</v>
      </c>
      <c r="I106" s="10">
        <v>2602812874.2800002</v>
      </c>
      <c r="J106" s="10">
        <v>12919185392.889999</v>
      </c>
      <c r="K106" s="10">
        <v>5251590954.5500002</v>
      </c>
      <c r="L106" s="10">
        <v>2374196694.04</v>
      </c>
      <c r="M106" s="10">
        <v>7.95</v>
      </c>
      <c r="N106" s="10">
        <v>11266160230.33</v>
      </c>
      <c r="O106" s="10">
        <v>8086565044.3500004</v>
      </c>
      <c r="P106" s="10" t="s">
        <v>26</v>
      </c>
      <c r="Q106" s="10" t="s">
        <v>28</v>
      </c>
      <c r="R106" s="10">
        <v>48.670088237493985</v>
      </c>
      <c r="S106" s="10" t="s">
        <v>45</v>
      </c>
      <c r="T106" s="10" t="s">
        <v>140</v>
      </c>
    </row>
    <row r="107" spans="1:20" x14ac:dyDescent="0.35">
      <c r="A107" s="9">
        <v>41639</v>
      </c>
      <c r="B107" s="10">
        <v>25275370473.23</v>
      </c>
      <c r="C107" s="10">
        <v>9398724655.3199997</v>
      </c>
      <c r="D107" s="10">
        <v>938473466.33000004</v>
      </c>
      <c r="E107" s="10">
        <v>956427457.53999996</v>
      </c>
      <c r="F107" s="10"/>
      <c r="G107" s="10">
        <v>-17.701294632991406</v>
      </c>
      <c r="H107" s="10">
        <v>-295.15602760221924</v>
      </c>
      <c r="I107" s="10">
        <v>6128499563.8100004</v>
      </c>
      <c r="J107" s="10">
        <v>34486497186.190002</v>
      </c>
      <c r="K107" s="10">
        <v>16904660206.73</v>
      </c>
      <c r="L107" s="10">
        <v>5090376338.3299999</v>
      </c>
      <c r="M107" s="10">
        <v>9.24</v>
      </c>
      <c r="N107" s="10">
        <v>30604993765</v>
      </c>
      <c r="O107" s="10">
        <v>9398724655.3199997</v>
      </c>
      <c r="P107" s="10" t="s">
        <v>26</v>
      </c>
      <c r="Q107" s="10" t="s">
        <v>28</v>
      </c>
      <c r="R107" s="10">
        <v>59.567850921417929</v>
      </c>
      <c r="S107" s="10" t="s">
        <v>45</v>
      </c>
      <c r="T107" s="10" t="s">
        <v>140</v>
      </c>
    </row>
    <row r="108" spans="1:20" x14ac:dyDescent="0.35">
      <c r="A108" s="9">
        <v>42004</v>
      </c>
      <c r="B108" s="10">
        <v>62395452580.470001</v>
      </c>
      <c r="C108" s="10">
        <v>16732577984.849998</v>
      </c>
      <c r="D108" s="10">
        <v>974395877.91999996</v>
      </c>
      <c r="E108" s="10">
        <v>996079459.86000001</v>
      </c>
      <c r="F108" s="10"/>
      <c r="G108" s="10">
        <v>-23.282860108382085</v>
      </c>
      <c r="H108" s="10">
        <v>410.802443919746</v>
      </c>
      <c r="I108" s="10">
        <v>8372325812.1899996</v>
      </c>
      <c r="J108" s="10">
        <v>60842610892.32</v>
      </c>
      <c r="K108" s="10">
        <v>32107623803.16</v>
      </c>
      <c r="L108" s="10">
        <v>6722300850.5</v>
      </c>
      <c r="M108" s="10">
        <v>16.45</v>
      </c>
      <c r="N108" s="10">
        <v>55673151729.970001</v>
      </c>
      <c r="O108" s="10">
        <v>16732577984.849998</v>
      </c>
      <c r="P108" s="10" t="s">
        <v>26</v>
      </c>
      <c r="Q108" s="10" t="s">
        <v>28</v>
      </c>
      <c r="R108" s="10">
        <v>62.495213583522137</v>
      </c>
      <c r="S108" s="10" t="s">
        <v>45</v>
      </c>
      <c r="T108" s="10" t="s">
        <v>140</v>
      </c>
    </row>
    <row r="109" spans="1:20" x14ac:dyDescent="0.35">
      <c r="A109" s="9">
        <v>42369</v>
      </c>
      <c r="B109" s="10">
        <v>84781627859.649994</v>
      </c>
      <c r="C109" s="10">
        <v>30489042640</v>
      </c>
      <c r="D109" s="10">
        <v>1934242140.3199999</v>
      </c>
      <c r="E109" s="10">
        <v>1962097042.8699999</v>
      </c>
      <c r="F109" s="10"/>
      <c r="G109" s="10">
        <v>-1.6725011212497647</v>
      </c>
      <c r="H109" s="10">
        <v>-93.846080551889614</v>
      </c>
      <c r="I109" s="10">
        <v>14813258428.98</v>
      </c>
      <c r="J109" s="10">
        <v>73862448396.460007</v>
      </c>
      <c r="K109" s="10">
        <v>33002302081.599998</v>
      </c>
      <c r="L109" s="10">
        <v>17068290509.25</v>
      </c>
      <c r="M109" s="10">
        <v>24.5</v>
      </c>
      <c r="N109" s="10">
        <v>67713337350.400002</v>
      </c>
      <c r="O109" s="10">
        <v>30489042640</v>
      </c>
      <c r="P109" s="10" t="s">
        <v>26</v>
      </c>
      <c r="Q109" s="10" t="s">
        <v>28</v>
      </c>
      <c r="R109" s="10">
        <v>52.604895799996875</v>
      </c>
      <c r="S109" s="10" t="s">
        <v>45</v>
      </c>
      <c r="T109" s="10" t="s">
        <v>140</v>
      </c>
    </row>
    <row r="110" spans="1:20" x14ac:dyDescent="0.35">
      <c r="A110" s="9">
        <v>42735</v>
      </c>
      <c r="B110" s="10">
        <v>123364697642.46001</v>
      </c>
      <c r="C110" s="10">
        <v>22014333236.800003</v>
      </c>
      <c r="D110" s="10">
        <v>2645844506.3000002</v>
      </c>
      <c r="E110" s="10">
        <v>2697120126.5799999</v>
      </c>
      <c r="F110" s="10"/>
      <c r="G110" s="10">
        <v>-6.6430487356552099</v>
      </c>
      <c r="H110" s="10">
        <v>-252.41231067475059</v>
      </c>
      <c r="I110" s="10">
        <v>20727941732.939999</v>
      </c>
      <c r="J110" s="10">
        <v>107872990149.03</v>
      </c>
      <c r="K110" s="10">
        <v>43495174568.089996</v>
      </c>
      <c r="L110" s="10">
        <v>21716142545.900002</v>
      </c>
      <c r="M110" s="10">
        <v>17.690000000000001</v>
      </c>
      <c r="N110" s="10">
        <v>101648555096.56</v>
      </c>
      <c r="O110" s="10">
        <v>22014333236.800003</v>
      </c>
      <c r="P110" s="10" t="s">
        <v>26</v>
      </c>
      <c r="Q110" s="10" t="s">
        <v>28</v>
      </c>
      <c r="R110" s="10">
        <v>61.059894140196846</v>
      </c>
      <c r="S110" s="10" t="s">
        <v>45</v>
      </c>
      <c r="T110" s="10" t="s">
        <v>140</v>
      </c>
    </row>
    <row r="111" spans="1:20" x14ac:dyDescent="0.35">
      <c r="A111" s="9">
        <v>43100</v>
      </c>
      <c r="B111" s="10">
        <v>206420889460.53</v>
      </c>
      <c r="C111" s="10">
        <v>24913903414.399998</v>
      </c>
      <c r="D111" s="10">
        <v>3742023698.27</v>
      </c>
      <c r="E111" s="10">
        <v>3851233979.0100002</v>
      </c>
      <c r="F111" s="10"/>
      <c r="G111" s="10">
        <v>-5.4450361075132161</v>
      </c>
      <c r="H111" s="10">
        <v>-273.48607067017588</v>
      </c>
      <c r="I111" s="10">
        <v>24331166371.700001</v>
      </c>
      <c r="J111" s="10">
        <v>176561371240.79001</v>
      </c>
      <c r="K111" s="10">
        <v>86907108314.259995</v>
      </c>
      <c r="L111" s="10">
        <v>25118871410.82</v>
      </c>
      <c r="M111" s="10">
        <v>20.02</v>
      </c>
      <c r="N111" s="10">
        <v>181302018049.70999</v>
      </c>
      <c r="O111" s="10">
        <v>24913903414.399998</v>
      </c>
      <c r="P111" s="10" t="s">
        <v>26</v>
      </c>
      <c r="Q111" s="10" t="s">
        <v>28</v>
      </c>
      <c r="R111" s="10">
        <v>65.639904004990768</v>
      </c>
      <c r="S111" s="10" t="s">
        <v>45</v>
      </c>
      <c r="T111" s="10" t="s">
        <v>140</v>
      </c>
    </row>
    <row r="112" spans="1:20" x14ac:dyDescent="0.35">
      <c r="A112" s="9">
        <v>43465</v>
      </c>
      <c r="B112" s="10">
        <v>243136407761.94</v>
      </c>
      <c r="C112" s="10">
        <v>17447199094.399998</v>
      </c>
      <c r="D112" s="10">
        <v>5731796664.2600002</v>
      </c>
      <c r="E112" s="10">
        <v>5857253380.9099998</v>
      </c>
      <c r="F112" s="10"/>
      <c r="G112" s="10">
        <v>3.0705176810300463</v>
      </c>
      <c r="H112" s="10">
        <v>-790.77601832994105</v>
      </c>
      <c r="I112" s="10">
        <v>30984920277.700001</v>
      </c>
      <c r="J112" s="10">
        <v>205009360315.34</v>
      </c>
      <c r="K112" s="10">
        <v>128936715470.00999</v>
      </c>
      <c r="L112" s="10">
        <v>31889182045.82</v>
      </c>
      <c r="M112" s="10">
        <v>14.02</v>
      </c>
      <c r="N112" s="10">
        <v>211247225716.12</v>
      </c>
      <c r="O112" s="10">
        <v>17447199094.399998</v>
      </c>
      <c r="P112" s="10" t="s">
        <v>26</v>
      </c>
      <c r="Q112" s="10" t="s">
        <v>28</v>
      </c>
      <c r="R112" s="10">
        <v>56.563264582087804</v>
      </c>
      <c r="S112" s="10" t="s">
        <v>45</v>
      </c>
      <c r="T112" s="10" t="s">
        <v>140</v>
      </c>
    </row>
    <row r="113" spans="1:20" x14ac:dyDescent="0.35">
      <c r="A113" s="9">
        <v>43830</v>
      </c>
      <c r="B113" s="10">
        <v>224308564981.29001</v>
      </c>
      <c r="C113" s="10">
        <v>15306743856</v>
      </c>
      <c r="D113" s="10">
        <v>936566776.38999999</v>
      </c>
      <c r="E113" s="10">
        <v>1112434723.9200001</v>
      </c>
      <c r="F113" s="10"/>
      <c r="G113" s="10">
        <v>-2111.5704828789553</v>
      </c>
      <c r="H113" s="10">
        <v>-13328.526493422138</v>
      </c>
      <c r="I113" s="10">
        <v>23620615287.119999</v>
      </c>
      <c r="J113" s="10">
        <v>176210120546.47</v>
      </c>
      <c r="K113" s="10">
        <v>146430329781.07999</v>
      </c>
      <c r="L113" s="10">
        <v>33753853519.639999</v>
      </c>
      <c r="M113" s="10">
        <v>6.15</v>
      </c>
      <c r="N113" s="10">
        <v>190554711461.64999</v>
      </c>
      <c r="O113" s="10">
        <v>15306743856</v>
      </c>
      <c r="P113" s="10" t="s">
        <v>26</v>
      </c>
      <c r="Q113" s="10" t="s">
        <v>28</v>
      </c>
      <c r="R113" s="10">
        <v>43.250990659564096</v>
      </c>
      <c r="S113" s="10" t="s">
        <v>45</v>
      </c>
      <c r="T113" s="10" t="s">
        <v>140</v>
      </c>
    </row>
    <row r="114" spans="1:20" x14ac:dyDescent="0.35">
      <c r="A114" s="9">
        <v>44196</v>
      </c>
      <c r="B114" s="10">
        <v>216832586290.45001</v>
      </c>
      <c r="C114" s="10">
        <v>8138707708.8000002</v>
      </c>
      <c r="D114" s="10">
        <v>-3611328571.9699998</v>
      </c>
      <c r="E114" s="10">
        <v>-3439414915.8000002</v>
      </c>
      <c r="F114" s="10"/>
      <c r="G114" s="10">
        <v>1.3834074650423782</v>
      </c>
      <c r="H114" s="10">
        <v>30.345986972817791</v>
      </c>
      <c r="I114" s="10">
        <v>3614534476.46</v>
      </c>
      <c r="J114" s="10">
        <v>169020078167.73999</v>
      </c>
      <c r="K114" s="10">
        <v>131560254010.62</v>
      </c>
      <c r="L114" s="10">
        <v>20066480455.77</v>
      </c>
      <c r="M114" s="10">
        <v>3.27</v>
      </c>
      <c r="N114" s="10">
        <v>196766105834.67999</v>
      </c>
      <c r="O114" s="10">
        <v>8138707708.8000002</v>
      </c>
      <c r="P114" s="10" t="s">
        <v>26</v>
      </c>
      <c r="Q114" s="10" t="s">
        <v>28</v>
      </c>
      <c r="R114" s="10">
        <v>43.618460853268694</v>
      </c>
      <c r="S114" s="10" t="s">
        <v>45</v>
      </c>
      <c r="T114" s="10" t="s">
        <v>140</v>
      </c>
    </row>
    <row r="115" spans="1:20" x14ac:dyDescent="0.35">
      <c r="A115" s="9">
        <v>44561</v>
      </c>
      <c r="B115" s="10">
        <v>219123942629.04001</v>
      </c>
      <c r="C115" s="10">
        <v>5500472182.3999996</v>
      </c>
      <c r="D115" s="10">
        <v>-1617920973.9300001</v>
      </c>
      <c r="E115" s="10">
        <v>-1437122392.4200001</v>
      </c>
      <c r="F115" s="10"/>
      <c r="G115" s="10">
        <v>-0.38268895535030162</v>
      </c>
      <c r="H115" s="10">
        <v>-76.106657808331221</v>
      </c>
      <c r="I115" s="10">
        <v>4911127344.46</v>
      </c>
      <c r="J115" s="10">
        <v>171663561258.07001</v>
      </c>
      <c r="K115" s="10">
        <v>144714012824.22</v>
      </c>
      <c r="L115" s="10">
        <v>14794355122.940001</v>
      </c>
      <c r="M115" s="10">
        <v>2.21</v>
      </c>
      <c r="N115" s="10">
        <v>204329587506.10001</v>
      </c>
      <c r="O115" s="10">
        <v>5500472182.3999996</v>
      </c>
      <c r="P115" s="10" t="s">
        <v>26</v>
      </c>
      <c r="Q115" s="10" t="s">
        <v>28</v>
      </c>
      <c r="R115" s="10">
        <v>42.038871700929278</v>
      </c>
      <c r="S115" s="10" t="s">
        <v>45</v>
      </c>
      <c r="T115" s="10" t="s">
        <v>140</v>
      </c>
    </row>
    <row r="116" spans="1:20" x14ac:dyDescent="0.35">
      <c r="A116" s="9">
        <v>44926</v>
      </c>
      <c r="B116" s="10">
        <v>214597822755.32999</v>
      </c>
      <c r="C116" s="10">
        <v>3384905958.4000001</v>
      </c>
      <c r="D116" s="10">
        <v>-3206596945.4899998</v>
      </c>
      <c r="E116" s="10">
        <v>-3036787456.21</v>
      </c>
      <c r="F116" s="10"/>
      <c r="G116" s="10">
        <v>0.21388459240649618</v>
      </c>
      <c r="H116" s="10">
        <v>41.895597136439896</v>
      </c>
      <c r="I116" s="10">
        <v>8802848101.5200005</v>
      </c>
      <c r="J116" s="10">
        <v>169659344368.54001</v>
      </c>
      <c r="K116" s="10">
        <v>184699778192.45001</v>
      </c>
      <c r="L116" s="10">
        <v>8416051851.6000004</v>
      </c>
      <c r="M116" s="10">
        <v>1.36</v>
      </c>
      <c r="N116" s="10">
        <v>206181770903.73001</v>
      </c>
      <c r="O116" s="10">
        <v>3384905958.4000001</v>
      </c>
      <c r="P116" s="10" t="s">
        <v>26</v>
      </c>
      <c r="Q116" s="10" t="s">
        <v>28</v>
      </c>
      <c r="R116" s="10">
        <v>40.605603978773701</v>
      </c>
      <c r="S116" s="10" t="s">
        <v>45</v>
      </c>
      <c r="T116" s="10" t="s">
        <v>140</v>
      </c>
    </row>
    <row r="117" spans="1:20" x14ac:dyDescent="0.35">
      <c r="A117" s="9">
        <v>45291</v>
      </c>
      <c r="B117" s="10">
        <v>200228170981.57001</v>
      </c>
      <c r="C117" s="10"/>
      <c r="D117" s="10">
        <v>-3284164423.8200002</v>
      </c>
      <c r="E117" s="10">
        <v>-3134658657.3000002</v>
      </c>
      <c r="F117" s="10"/>
      <c r="G117" s="10">
        <v>-0.20272731075465228</v>
      </c>
      <c r="H117" s="10">
        <v>-120.55704625882038</v>
      </c>
      <c r="I117" s="10">
        <v>6395349345.6499996</v>
      </c>
      <c r="J117" s="10">
        <v>154800931094.79999</v>
      </c>
      <c r="K117" s="10">
        <v>191095561869.78</v>
      </c>
      <c r="L117" s="10">
        <v>674716948.48000002</v>
      </c>
      <c r="M117" s="10">
        <v>0.43</v>
      </c>
      <c r="N117" s="10">
        <v>199553454033.09</v>
      </c>
      <c r="O117" s="10"/>
      <c r="P117" s="10" t="s">
        <v>26</v>
      </c>
      <c r="Q117" s="10" t="s">
        <v>28</v>
      </c>
      <c r="R117" s="10">
        <v>42.513033753854316</v>
      </c>
      <c r="S117" s="10" t="s">
        <v>45</v>
      </c>
      <c r="T117" s="10" t="s">
        <v>140</v>
      </c>
    </row>
    <row r="118" spans="1:20" x14ac:dyDescent="0.35">
      <c r="A118" s="9">
        <v>45657</v>
      </c>
      <c r="B118" s="10">
        <v>164706868360.37</v>
      </c>
      <c r="C118" s="10"/>
      <c r="D118" s="10">
        <v>-17742620847.529999</v>
      </c>
      <c r="E118" s="10">
        <v>-17595860065.610001</v>
      </c>
      <c r="F118" s="10"/>
      <c r="G118" s="10">
        <v>-0.25002535074477283</v>
      </c>
      <c r="H118" s="10">
        <v>-79187.104278360304</v>
      </c>
      <c r="I118" s="10">
        <v>8044116627.3800001</v>
      </c>
      <c r="J118" s="10">
        <v>125292795632.28</v>
      </c>
      <c r="K118" s="10">
        <v>183500080838.42001</v>
      </c>
      <c r="L118" s="10">
        <v>-22430689527.029999</v>
      </c>
      <c r="M118" s="10">
        <v>0.43</v>
      </c>
      <c r="N118" s="10">
        <v>187137557887.39999</v>
      </c>
      <c r="O118" s="10"/>
      <c r="P118" s="10" t="s">
        <v>26</v>
      </c>
      <c r="Q118" s="10" t="s">
        <v>28</v>
      </c>
      <c r="R118" s="10">
        <v>45.494348128222569</v>
      </c>
      <c r="S118" s="10" t="s">
        <v>45</v>
      </c>
      <c r="T118" s="10" t="s">
        <v>140</v>
      </c>
    </row>
    <row r="119" spans="1:20" x14ac:dyDescent="0.35">
      <c r="A119" s="9">
        <v>41274</v>
      </c>
      <c r="B119" s="10">
        <v>103281911000</v>
      </c>
      <c r="C119" s="10">
        <v>25720058594.667408</v>
      </c>
      <c r="D119" s="10">
        <v>5195120000</v>
      </c>
      <c r="E119" s="10">
        <v>7631314000</v>
      </c>
      <c r="F119" s="10"/>
      <c r="G119" s="10">
        <v>1.5061457665205513</v>
      </c>
      <c r="H119" s="10">
        <v>252.61501937739615</v>
      </c>
      <c r="I119" s="10">
        <v>28867585000</v>
      </c>
      <c r="J119" s="10">
        <v>25686825000</v>
      </c>
      <c r="K119" s="10">
        <v>35327985000</v>
      </c>
      <c r="L119" s="10">
        <v>23909229000</v>
      </c>
      <c r="M119" s="10">
        <v>4.2300000000000004</v>
      </c>
      <c r="N119" s="10">
        <v>68809915000</v>
      </c>
      <c r="O119" s="10">
        <v>25765314485.850002</v>
      </c>
      <c r="P119" s="10" t="s">
        <v>27</v>
      </c>
      <c r="Q119" s="10" t="s">
        <v>28</v>
      </c>
      <c r="R119" s="10">
        <v>55.627001905884718</v>
      </c>
      <c r="S119" s="10" t="s">
        <v>43</v>
      </c>
      <c r="T119" s="10" t="s">
        <v>140</v>
      </c>
    </row>
    <row r="120" spans="1:20" x14ac:dyDescent="0.35">
      <c r="A120" s="9">
        <v>41639</v>
      </c>
      <c r="B120" s="10">
        <v>100289991000</v>
      </c>
      <c r="C120" s="10">
        <v>24560249049.866829</v>
      </c>
      <c r="D120" s="10">
        <v>5096427000</v>
      </c>
      <c r="E120" s="10">
        <v>7836565000</v>
      </c>
      <c r="F120" s="10"/>
      <c r="G120" s="10">
        <v>1.2439850959872909</v>
      </c>
      <c r="H120" s="10">
        <v>-405.56710145385148</v>
      </c>
      <c r="I120" s="10">
        <v>30231362000</v>
      </c>
      <c r="J120" s="10">
        <v>24445084000</v>
      </c>
      <c r="K120" s="10">
        <v>39791969000</v>
      </c>
      <c r="L120" s="10">
        <v>25523834000</v>
      </c>
      <c r="M120" s="10">
        <v>2</v>
      </c>
      <c r="N120" s="10">
        <v>77758077000</v>
      </c>
      <c r="O120" s="10">
        <v>24364363580</v>
      </c>
      <c r="P120" s="10" t="s">
        <v>27</v>
      </c>
      <c r="Q120" s="10" t="s">
        <v>28</v>
      </c>
      <c r="R120" s="10">
        <v>59.49927378861144</v>
      </c>
      <c r="S120" s="10" t="s">
        <v>43</v>
      </c>
      <c r="T120" s="10" t="s">
        <v>140</v>
      </c>
    </row>
    <row r="121" spans="1:20" x14ac:dyDescent="0.35">
      <c r="A121" s="9">
        <v>42004</v>
      </c>
      <c r="B121" s="10">
        <v>121982041000</v>
      </c>
      <c r="C121" s="10">
        <v>41640647778.037064</v>
      </c>
      <c r="D121" s="10">
        <v>6393169000</v>
      </c>
      <c r="E121" s="10">
        <v>9867003000</v>
      </c>
      <c r="F121" s="10"/>
      <c r="G121" s="10">
        <v>0.66770102557430711</v>
      </c>
      <c r="H121" s="10">
        <v>3928.376937318862</v>
      </c>
      <c r="I121" s="10">
        <v>36043771000</v>
      </c>
      <c r="J121" s="10">
        <v>28789417000</v>
      </c>
      <c r="K121" s="10">
        <v>38545999000</v>
      </c>
      <c r="L121" s="10">
        <v>31724745000</v>
      </c>
      <c r="M121" s="10">
        <v>3.42</v>
      </c>
      <c r="N121" s="10">
        <v>90257296000</v>
      </c>
      <c r="O121" s="10">
        <v>41663061721.799995</v>
      </c>
      <c r="P121" s="10" t="s">
        <v>27</v>
      </c>
      <c r="Q121" s="10" t="s">
        <v>28</v>
      </c>
      <c r="R121" s="10">
        <v>55.961780472258205</v>
      </c>
      <c r="S121" s="10" t="s">
        <v>43</v>
      </c>
      <c r="T121" s="10" t="s">
        <v>140</v>
      </c>
    </row>
    <row r="122" spans="1:20" x14ac:dyDescent="0.35">
      <c r="A122" s="9">
        <v>42369</v>
      </c>
      <c r="B122" s="10">
        <v>125381227000</v>
      </c>
      <c r="C122" s="10">
        <v>47638063780.007118</v>
      </c>
      <c r="D122" s="10">
        <v>6922796000</v>
      </c>
      <c r="E122" s="10">
        <v>10865069000</v>
      </c>
      <c r="F122" s="10"/>
      <c r="G122" s="10">
        <v>1.126489166167586</v>
      </c>
      <c r="H122" s="10">
        <v>-592.82428446182962</v>
      </c>
      <c r="I122" s="10">
        <v>35225439000</v>
      </c>
      <c r="J122" s="10">
        <v>23550785000</v>
      </c>
      <c r="K122" s="10">
        <v>29727817000</v>
      </c>
      <c r="L122" s="10">
        <v>38564442000</v>
      </c>
      <c r="M122" s="10">
        <v>3.89</v>
      </c>
      <c r="N122" s="10">
        <v>86816785000</v>
      </c>
      <c r="O122" s="10">
        <v>47388687163.099998</v>
      </c>
      <c r="P122" s="10" t="s">
        <v>27</v>
      </c>
      <c r="Q122" s="10" t="s">
        <v>28</v>
      </c>
      <c r="R122" s="10">
        <v>49.52086965937891</v>
      </c>
      <c r="S122" s="10" t="s">
        <v>43</v>
      </c>
      <c r="T122" s="10" t="s">
        <v>140</v>
      </c>
    </row>
    <row r="123" spans="1:20" x14ac:dyDescent="0.35">
      <c r="A123" s="9">
        <v>42735</v>
      </c>
      <c r="B123" s="10">
        <v>148144017000</v>
      </c>
      <c r="C123" s="10">
        <v>55144332466.900467</v>
      </c>
      <c r="D123" s="10">
        <v>6607501000</v>
      </c>
      <c r="E123" s="10">
        <v>11006016000</v>
      </c>
      <c r="F123" s="10"/>
      <c r="G123" s="10">
        <v>1.0588491641641227</v>
      </c>
      <c r="H123" s="10">
        <v>259.67401816162186</v>
      </c>
      <c r="I123" s="10">
        <v>40678130000</v>
      </c>
      <c r="J123" s="10">
        <v>29539240000</v>
      </c>
      <c r="K123" s="10">
        <v>32874668000</v>
      </c>
      <c r="L123" s="10">
        <v>67876157000</v>
      </c>
      <c r="M123" s="10">
        <v>3.26</v>
      </c>
      <c r="N123" s="10">
        <v>80267860000</v>
      </c>
      <c r="O123" s="10">
        <v>54787952275.799995</v>
      </c>
      <c r="P123" s="10" t="s">
        <v>27</v>
      </c>
      <c r="Q123" s="10" t="s">
        <v>28</v>
      </c>
      <c r="R123" s="10">
        <v>35.656679270415623</v>
      </c>
      <c r="S123" s="10" t="s">
        <v>43</v>
      </c>
      <c r="T123" s="10" t="s">
        <v>140</v>
      </c>
    </row>
    <row r="124" spans="1:20" x14ac:dyDescent="0.35">
      <c r="A124" s="9">
        <v>43100</v>
      </c>
      <c r="B124" s="10">
        <v>197347888000</v>
      </c>
      <c r="C124" s="10">
        <v>53743811747.531982</v>
      </c>
      <c r="D124" s="10">
        <v>8639126000</v>
      </c>
      <c r="E124" s="10">
        <v>14107276000</v>
      </c>
      <c r="F124" s="10"/>
      <c r="G124" s="10">
        <v>1.2982332490325208</v>
      </c>
      <c r="H124" s="10">
        <v>110.79856814849384</v>
      </c>
      <c r="I124" s="10">
        <v>59903948000</v>
      </c>
      <c r="J124" s="10">
        <v>43102294000</v>
      </c>
      <c r="K124" s="10">
        <v>68177587000</v>
      </c>
      <c r="L124" s="10">
        <v>73957319000</v>
      </c>
      <c r="M124" s="10">
        <v>3.19</v>
      </c>
      <c r="N124" s="10">
        <v>123390569000</v>
      </c>
      <c r="O124" s="10">
        <v>53611523852.699997</v>
      </c>
      <c r="P124" s="10" t="s">
        <v>27</v>
      </c>
      <c r="Q124" s="10" t="s">
        <v>28</v>
      </c>
      <c r="R124" s="10">
        <v>44.571378944779994</v>
      </c>
      <c r="S124" s="10" t="s">
        <v>43</v>
      </c>
      <c r="T124" s="10" t="s">
        <v>140</v>
      </c>
    </row>
    <row r="125" spans="1:20" x14ac:dyDescent="0.35">
      <c r="A125" s="9">
        <v>43465</v>
      </c>
      <c r="B125" s="10">
        <v>204735164000</v>
      </c>
      <c r="C125" s="10">
        <v>31765581314.896381</v>
      </c>
      <c r="D125" s="10">
        <v>-488545000</v>
      </c>
      <c r="E125" s="10">
        <v>5492812000</v>
      </c>
      <c r="F125" s="10"/>
      <c r="G125" s="10">
        <v>1.0948562557415809</v>
      </c>
      <c r="H125" s="10">
        <v>-268.32152228566247</v>
      </c>
      <c r="I125" s="10">
        <v>67763934000</v>
      </c>
      <c r="J125" s="10">
        <v>55101233000</v>
      </c>
      <c r="K125" s="10">
        <v>125663434000</v>
      </c>
      <c r="L125" s="10">
        <v>68750269000</v>
      </c>
      <c r="M125" s="10">
        <v>1.88</v>
      </c>
      <c r="N125" s="10">
        <v>135984895000</v>
      </c>
      <c r="O125" s="10">
        <v>31595506220.399998</v>
      </c>
      <c r="P125" s="10" t="s">
        <v>27</v>
      </c>
      <c r="Q125" s="10" t="s">
        <v>28</v>
      </c>
      <c r="R125" s="10">
        <v>50.152848682115007</v>
      </c>
      <c r="S125" s="10" t="s">
        <v>43</v>
      </c>
      <c r="T125" s="10" t="s">
        <v>140</v>
      </c>
    </row>
    <row r="126" spans="1:20" x14ac:dyDescent="0.35">
      <c r="A126" s="9">
        <v>43830</v>
      </c>
      <c r="B126" s="10">
        <v>196534935000</v>
      </c>
      <c r="C126" s="10">
        <v>29139057528.609642</v>
      </c>
      <c r="D126" s="10">
        <v>5903479000</v>
      </c>
      <c r="E126" s="10">
        <v>11522593000</v>
      </c>
      <c r="F126" s="10"/>
      <c r="G126" s="10">
        <v>1.6550097961435601</v>
      </c>
      <c r="H126" s="10">
        <v>-60.962102913562731</v>
      </c>
      <c r="I126" s="10">
        <v>72389410000</v>
      </c>
      <c r="J126" s="10">
        <v>50232270000</v>
      </c>
      <c r="K126" s="10">
        <v>120246183000</v>
      </c>
      <c r="L126" s="10">
        <v>62107157000</v>
      </c>
      <c r="M126" s="10">
        <v>1.73</v>
      </c>
      <c r="N126" s="10">
        <v>134427778000</v>
      </c>
      <c r="O126" s="10">
        <v>29074588170.900002</v>
      </c>
      <c r="P126" s="10" t="s">
        <v>27</v>
      </c>
      <c r="Q126" s="10" t="s">
        <v>28</v>
      </c>
      <c r="R126" s="10">
        <v>50.353292151341947</v>
      </c>
      <c r="S126" s="10" t="s">
        <v>43</v>
      </c>
      <c r="T126" s="10" t="s">
        <v>140</v>
      </c>
    </row>
    <row r="127" spans="1:20" x14ac:dyDescent="0.35">
      <c r="A127" s="9">
        <v>44196</v>
      </c>
      <c r="B127" s="10">
        <v>164576692000</v>
      </c>
      <c r="C127" s="10">
        <v>25446579729.614681</v>
      </c>
      <c r="D127" s="10">
        <v>-63037980000</v>
      </c>
      <c r="E127" s="10">
        <v>-58260091000</v>
      </c>
      <c r="F127" s="10"/>
      <c r="G127" s="10">
        <v>1.2984723754792477E-2</v>
      </c>
      <c r="H127" s="10">
        <v>12.152712656502185</v>
      </c>
      <c r="I127" s="10">
        <v>29401026000</v>
      </c>
      <c r="J127" s="10">
        <v>66278917000</v>
      </c>
      <c r="K127" s="10">
        <v>178867988000</v>
      </c>
      <c r="L127" s="10">
        <v>-22253907000</v>
      </c>
      <c r="M127" s="10">
        <v>1.52</v>
      </c>
      <c r="N127" s="10">
        <v>186830599000</v>
      </c>
      <c r="O127" s="10">
        <v>25545302901.599998</v>
      </c>
      <c r="P127" s="10" t="s">
        <v>27</v>
      </c>
      <c r="Q127" s="10" t="s">
        <v>28</v>
      </c>
      <c r="R127" s="10">
        <v>84.907533564959493</v>
      </c>
      <c r="S127" s="10" t="s">
        <v>43</v>
      </c>
      <c r="T127" s="10" t="s">
        <v>140</v>
      </c>
    </row>
    <row r="128" spans="1:20" x14ac:dyDescent="0.35">
      <c r="A128" s="9">
        <v>44561</v>
      </c>
      <c r="B128" s="10">
        <v>143254576000</v>
      </c>
      <c r="C128" s="10">
        <v>61721519471.341698</v>
      </c>
      <c r="D128" s="10">
        <v>6782715000</v>
      </c>
      <c r="E128" s="10">
        <v>19444826000</v>
      </c>
      <c r="F128" s="10"/>
      <c r="G128" s="10">
        <v>-0.10343805350214653</v>
      </c>
      <c r="H128" s="10">
        <v>86.777507566070184</v>
      </c>
      <c r="I128" s="10">
        <v>34002019000</v>
      </c>
      <c r="J128" s="10">
        <v>29975474000</v>
      </c>
      <c r="K128" s="10">
        <v>23093299000</v>
      </c>
      <c r="L128" s="10">
        <v>10966573000</v>
      </c>
      <c r="M128" s="10">
        <v>1.86</v>
      </c>
      <c r="N128" s="10">
        <v>132288003000</v>
      </c>
      <c r="O128" s="10">
        <v>61831597319.880005</v>
      </c>
      <c r="P128" s="10" t="s">
        <v>27</v>
      </c>
      <c r="Q128" s="10" t="s">
        <v>28</v>
      </c>
      <c r="R128" s="10">
        <v>75.362835180915965</v>
      </c>
      <c r="S128" s="10" t="s">
        <v>43</v>
      </c>
      <c r="T128" s="10" t="s">
        <v>140</v>
      </c>
    </row>
    <row r="129" spans="1:20" x14ac:dyDescent="0.35">
      <c r="A129" s="9">
        <v>44926</v>
      </c>
      <c r="B129" s="10">
        <v>138114275000</v>
      </c>
      <c r="C129" s="10">
        <v>80437516620.265701</v>
      </c>
      <c r="D129" s="10">
        <v>-23455993000</v>
      </c>
      <c r="E129" s="10">
        <v>-13087521000</v>
      </c>
      <c r="F129" s="10"/>
      <c r="G129" s="10">
        <v>0.24494965960388645</v>
      </c>
      <c r="H129" s="10">
        <v>-30.624756068077037</v>
      </c>
      <c r="I129" s="10">
        <v>22864193000</v>
      </c>
      <c r="J129" s="10">
        <v>22567222000</v>
      </c>
      <c r="K129" s="10">
        <v>30842306000</v>
      </c>
      <c r="L129" s="10">
        <v>458849000</v>
      </c>
      <c r="M129" s="10">
        <v>1.86</v>
      </c>
      <c r="N129" s="10">
        <v>137655426000</v>
      </c>
      <c r="O129" s="10">
        <v>80381076515.100006</v>
      </c>
      <c r="P129" s="10" t="s">
        <v>27</v>
      </c>
      <c r="Q129" s="10" t="s">
        <v>28</v>
      </c>
      <c r="R129" s="10">
        <v>82.245968419991343</v>
      </c>
      <c r="S129" s="10" t="s">
        <v>43</v>
      </c>
      <c r="T129" s="10" t="s">
        <v>140</v>
      </c>
    </row>
    <row r="130" spans="1:20" x14ac:dyDescent="0.35">
      <c r="A130" s="9">
        <v>45291</v>
      </c>
      <c r="B130" s="10">
        <v>134034890000</v>
      </c>
      <c r="C130" s="10">
        <v>59149343623.618614</v>
      </c>
      <c r="D130" s="10">
        <v>3311276000</v>
      </c>
      <c r="E130" s="10">
        <v>13308793000</v>
      </c>
      <c r="F130" s="10"/>
      <c r="G130" s="10">
        <v>0.93847108995923678</v>
      </c>
      <c r="H130" s="10">
        <v>-103.68797763600941</v>
      </c>
      <c r="I130" s="10">
        <v>58641088000</v>
      </c>
      <c r="J130" s="10">
        <v>27133985000</v>
      </c>
      <c r="K130" s="10">
        <v>32907619000</v>
      </c>
      <c r="L130" s="10">
        <v>1577335000</v>
      </c>
      <c r="M130" s="10">
        <v>1.37</v>
      </c>
      <c r="N130" s="10">
        <v>132457555000</v>
      </c>
      <c r="O130" s="10">
        <v>59205416572.950005</v>
      </c>
      <c r="P130" s="10" t="s">
        <v>27</v>
      </c>
      <c r="Q130" s="10" t="s">
        <v>28</v>
      </c>
      <c r="R130" s="10">
        <v>78.487243881052166</v>
      </c>
      <c r="S130" s="10" t="s">
        <v>43</v>
      </c>
      <c r="T130" s="10" t="s">
        <v>140</v>
      </c>
    </row>
    <row r="131" spans="1:20" x14ac:dyDescent="0.35">
      <c r="A131" s="9">
        <v>45657</v>
      </c>
      <c r="B131" s="10">
        <v>141706873000</v>
      </c>
      <c r="C131" s="10">
        <v>73698972465.328308</v>
      </c>
      <c r="D131" s="10">
        <v>2583696000</v>
      </c>
      <c r="E131" s="10">
        <v>13011530000</v>
      </c>
      <c r="F131" s="10"/>
      <c r="G131" s="10">
        <v>1.5863018803332463</v>
      </c>
      <c r="H131" s="10">
        <v>-3161.1521427932357</v>
      </c>
      <c r="I131" s="10">
        <v>65235900000</v>
      </c>
      <c r="J131" s="10">
        <v>29683319000</v>
      </c>
      <c r="K131" s="10">
        <v>36481865000</v>
      </c>
      <c r="L131" s="10">
        <v>1541310000</v>
      </c>
      <c r="M131" s="10">
        <v>1.7</v>
      </c>
      <c r="N131" s="10">
        <v>140165563000</v>
      </c>
      <c r="O131" s="10">
        <v>73466575309.5</v>
      </c>
      <c r="P131" s="10" t="s">
        <v>27</v>
      </c>
      <c r="Q131" s="10" t="s">
        <v>28</v>
      </c>
      <c r="R131" s="10">
        <v>73.881484915696362</v>
      </c>
      <c r="S131" s="10" t="s">
        <v>43</v>
      </c>
      <c r="T131" s="10" t="s">
        <v>140</v>
      </c>
    </row>
    <row r="132" spans="1:20" x14ac:dyDescent="0.35">
      <c r="A132" s="9">
        <v>41274</v>
      </c>
      <c r="B132" s="10">
        <v>35695370103.330002</v>
      </c>
      <c r="C132" s="10">
        <v>8086565044.3500004</v>
      </c>
      <c r="D132" s="10">
        <v>405407535.30000001</v>
      </c>
      <c r="E132" s="10">
        <v>417124587.13999999</v>
      </c>
      <c r="F132" s="10"/>
      <c r="G132" s="10">
        <v>-2.8947794136238132</v>
      </c>
      <c r="H132" s="10">
        <v>-37.767114139615153</v>
      </c>
      <c r="I132" s="10">
        <v>2602812874.2800002</v>
      </c>
      <c r="J132" s="10">
        <v>12919185392.889999</v>
      </c>
      <c r="K132" s="10">
        <v>5251590954.5500002</v>
      </c>
      <c r="L132" s="10">
        <v>2374196694.04</v>
      </c>
      <c r="M132" s="10">
        <v>7.95</v>
      </c>
      <c r="N132" s="10">
        <v>11266160230.33</v>
      </c>
      <c r="O132" s="10">
        <v>8086565044.3500004</v>
      </c>
      <c r="P132" s="10" t="s">
        <v>26</v>
      </c>
      <c r="Q132" s="10" t="s">
        <v>28</v>
      </c>
      <c r="R132" s="10">
        <v>48.670088237493985</v>
      </c>
      <c r="S132" s="10" t="s">
        <v>45</v>
      </c>
      <c r="T132" s="10" t="s">
        <v>140</v>
      </c>
    </row>
    <row r="133" spans="1:20" x14ac:dyDescent="0.35">
      <c r="A133" s="9">
        <v>41639</v>
      </c>
      <c r="B133" s="10">
        <v>15685370104.200001</v>
      </c>
      <c r="C133" s="10">
        <v>9398724655.3199997</v>
      </c>
      <c r="D133" s="10">
        <v>938473466.33000004</v>
      </c>
      <c r="E133" s="10">
        <v>956427457.53999996</v>
      </c>
      <c r="F133" s="10"/>
      <c r="G133" s="10">
        <v>-17.701294632991406</v>
      </c>
      <c r="H133" s="10">
        <v>-295.15602760221924</v>
      </c>
      <c r="I133" s="10">
        <v>6128499563.8100004</v>
      </c>
      <c r="J133" s="10">
        <v>34486497186.190002</v>
      </c>
      <c r="K133" s="10">
        <v>16904660206.73</v>
      </c>
      <c r="L133" s="10">
        <v>5090376338.3299999</v>
      </c>
      <c r="M133" s="10">
        <v>9.24</v>
      </c>
      <c r="N133" s="10">
        <v>30604993765</v>
      </c>
      <c r="O133" s="10">
        <v>9398724655.3199997</v>
      </c>
      <c r="P133" s="10" t="s">
        <v>26</v>
      </c>
      <c r="Q133" s="10" t="s">
        <v>28</v>
      </c>
      <c r="R133" s="10">
        <v>59.567850921417929</v>
      </c>
      <c r="S133" s="10" t="s">
        <v>45</v>
      </c>
      <c r="T133" s="10" t="s">
        <v>140</v>
      </c>
    </row>
    <row r="134" spans="1:20" x14ac:dyDescent="0.35">
      <c r="A134" s="9">
        <v>42004</v>
      </c>
      <c r="B134" s="10">
        <v>62395452580.470001</v>
      </c>
      <c r="C134" s="10">
        <v>16732577984.849998</v>
      </c>
      <c r="D134" s="10">
        <v>974395877.91999996</v>
      </c>
      <c r="E134" s="10">
        <v>996079459.86000001</v>
      </c>
      <c r="F134" s="10"/>
      <c r="G134" s="10">
        <v>-23.282860108382085</v>
      </c>
      <c r="H134" s="10">
        <v>410.802443919746</v>
      </c>
      <c r="I134" s="10">
        <v>8372325812.1899996</v>
      </c>
      <c r="J134" s="10">
        <v>60842610892.32</v>
      </c>
      <c r="K134" s="10">
        <v>32107623803.16</v>
      </c>
      <c r="L134" s="10">
        <v>6722300850.5</v>
      </c>
      <c r="M134" s="10">
        <v>16.45</v>
      </c>
      <c r="N134" s="10">
        <v>55673151729.970001</v>
      </c>
      <c r="O134" s="10">
        <v>16732577984.849998</v>
      </c>
      <c r="P134" s="10" t="s">
        <v>26</v>
      </c>
      <c r="Q134" s="10" t="s">
        <v>28</v>
      </c>
      <c r="R134" s="10">
        <v>62.495213583522137</v>
      </c>
      <c r="S134" s="10" t="s">
        <v>45</v>
      </c>
      <c r="T134" s="10" t="s">
        <v>140</v>
      </c>
    </row>
    <row r="135" spans="1:20" x14ac:dyDescent="0.35">
      <c r="A135" s="9">
        <v>42369</v>
      </c>
      <c r="B135" s="10">
        <v>84781627859.649994</v>
      </c>
      <c r="C135" s="10">
        <v>30489042640</v>
      </c>
      <c r="D135" s="10">
        <v>1934242140.3199999</v>
      </c>
      <c r="E135" s="10">
        <v>1962097042.8699999</v>
      </c>
      <c r="F135" s="10"/>
      <c r="G135" s="10">
        <v>-1.6725011212497647</v>
      </c>
      <c r="H135" s="10">
        <v>-93.846080551889614</v>
      </c>
      <c r="I135" s="10">
        <v>14813258428.98</v>
      </c>
      <c r="J135" s="10">
        <v>73862448396.460007</v>
      </c>
      <c r="K135" s="10">
        <v>33002302081.599998</v>
      </c>
      <c r="L135" s="10">
        <v>17068290509.25</v>
      </c>
      <c r="M135" s="10">
        <v>24.5</v>
      </c>
      <c r="N135" s="10">
        <v>67713337350.400002</v>
      </c>
      <c r="O135" s="10">
        <v>30489042640</v>
      </c>
      <c r="P135" s="10" t="s">
        <v>26</v>
      </c>
      <c r="Q135" s="10" t="s">
        <v>28</v>
      </c>
      <c r="R135" s="10">
        <v>52.604895799996875</v>
      </c>
      <c r="S135" s="10" t="s">
        <v>45</v>
      </c>
      <c r="T135" s="10" t="s">
        <v>140</v>
      </c>
    </row>
    <row r="136" spans="1:20" x14ac:dyDescent="0.35">
      <c r="A136" s="9">
        <v>42735</v>
      </c>
      <c r="B136" s="10">
        <v>123364697642.46001</v>
      </c>
      <c r="C136" s="10">
        <v>22014333236.800003</v>
      </c>
      <c r="D136" s="10">
        <v>2645844506.3000002</v>
      </c>
      <c r="E136" s="10">
        <v>2697120126.5799999</v>
      </c>
      <c r="F136" s="10"/>
      <c r="G136" s="10">
        <v>-6.6430487356552099</v>
      </c>
      <c r="H136" s="10">
        <v>-252.41231067475059</v>
      </c>
      <c r="I136" s="10">
        <v>20727941732.939999</v>
      </c>
      <c r="J136" s="10">
        <v>107872990149.03</v>
      </c>
      <c r="K136" s="10">
        <v>43495174568.089996</v>
      </c>
      <c r="L136" s="10">
        <v>21716142545.900002</v>
      </c>
      <c r="M136" s="10">
        <v>17.690000000000001</v>
      </c>
      <c r="N136" s="10">
        <v>101648555096.56</v>
      </c>
      <c r="O136" s="10">
        <v>22014333236.800003</v>
      </c>
      <c r="P136" s="10" t="s">
        <v>26</v>
      </c>
      <c r="Q136" s="10" t="s">
        <v>28</v>
      </c>
      <c r="R136" s="10">
        <v>61.059894140196846</v>
      </c>
      <c r="S136" s="10" t="s">
        <v>45</v>
      </c>
      <c r="T136" s="10" t="s">
        <v>140</v>
      </c>
    </row>
    <row r="137" spans="1:20" x14ac:dyDescent="0.35">
      <c r="A137" s="9">
        <v>43100</v>
      </c>
      <c r="B137" s="10">
        <v>206420889460.53</v>
      </c>
      <c r="C137" s="10">
        <v>24913903414.399998</v>
      </c>
      <c r="D137" s="10">
        <v>3742023698.27</v>
      </c>
      <c r="E137" s="10">
        <v>3851233979.0100002</v>
      </c>
      <c r="F137" s="10"/>
      <c r="G137" s="10">
        <v>-5.4450361075132161</v>
      </c>
      <c r="H137" s="10">
        <v>-273.48607067017588</v>
      </c>
      <c r="I137" s="10">
        <v>24331166371.700001</v>
      </c>
      <c r="J137" s="10">
        <v>176561371240.79001</v>
      </c>
      <c r="K137" s="10">
        <v>86907108314.259995</v>
      </c>
      <c r="L137" s="10">
        <v>25118871410.82</v>
      </c>
      <c r="M137" s="10">
        <v>20.02</v>
      </c>
      <c r="N137" s="10">
        <v>181302018049.70999</v>
      </c>
      <c r="O137" s="10">
        <v>24913903414.399998</v>
      </c>
      <c r="P137" s="10" t="s">
        <v>26</v>
      </c>
      <c r="Q137" s="10" t="s">
        <v>28</v>
      </c>
      <c r="R137" s="10">
        <v>65.639904004990768</v>
      </c>
      <c r="S137" s="10" t="s">
        <v>45</v>
      </c>
      <c r="T137" s="10" t="s">
        <v>140</v>
      </c>
    </row>
    <row r="138" spans="1:20" x14ac:dyDescent="0.35">
      <c r="A138" s="9">
        <v>43465</v>
      </c>
      <c r="B138" s="10">
        <v>243136407761.94</v>
      </c>
      <c r="C138" s="10">
        <v>17447199094.399998</v>
      </c>
      <c r="D138" s="10">
        <v>5731796664.2600002</v>
      </c>
      <c r="E138" s="10">
        <v>5857253380.9099998</v>
      </c>
      <c r="F138" s="10"/>
      <c r="G138" s="10">
        <v>3.0705176810300463</v>
      </c>
      <c r="H138" s="10">
        <v>-790.77601832994105</v>
      </c>
      <c r="I138" s="10">
        <v>30984920277.700001</v>
      </c>
      <c r="J138" s="10">
        <v>205009360315.34</v>
      </c>
      <c r="K138" s="10">
        <v>128936715470.00999</v>
      </c>
      <c r="L138" s="10">
        <v>31889182045.82</v>
      </c>
      <c r="M138" s="10">
        <v>14.02</v>
      </c>
      <c r="N138" s="10">
        <v>211247225716.12</v>
      </c>
      <c r="O138" s="10">
        <v>17447199094.399998</v>
      </c>
      <c r="P138" s="10" t="s">
        <v>26</v>
      </c>
      <c r="Q138" s="10" t="s">
        <v>28</v>
      </c>
      <c r="R138" s="10">
        <v>56.563264582087804</v>
      </c>
      <c r="S138" s="10" t="s">
        <v>45</v>
      </c>
      <c r="T138" s="10" t="s">
        <v>140</v>
      </c>
    </row>
    <row r="139" spans="1:20" x14ac:dyDescent="0.35">
      <c r="A139" s="9">
        <v>43830</v>
      </c>
      <c r="B139" s="10">
        <v>224308564981.29001</v>
      </c>
      <c r="C139" s="10">
        <v>15306743856</v>
      </c>
      <c r="D139" s="10">
        <v>936566776.38999999</v>
      </c>
      <c r="E139" s="10">
        <v>1112434723.9200001</v>
      </c>
      <c r="F139" s="10"/>
      <c r="G139" s="10">
        <v>-2111.5704828789553</v>
      </c>
      <c r="H139" s="10">
        <v>-13328.526493422138</v>
      </c>
      <c r="I139" s="10">
        <v>23620615287.119999</v>
      </c>
      <c r="J139" s="10">
        <v>176210120546.47</v>
      </c>
      <c r="K139" s="10">
        <v>146430329781.07999</v>
      </c>
      <c r="L139" s="10">
        <v>33753853519.639999</v>
      </c>
      <c r="M139" s="10">
        <v>6.15</v>
      </c>
      <c r="N139" s="10">
        <v>190554711461.64999</v>
      </c>
      <c r="O139" s="10">
        <v>15306743856</v>
      </c>
      <c r="P139" s="10" t="s">
        <v>26</v>
      </c>
      <c r="Q139" s="10" t="s">
        <v>28</v>
      </c>
      <c r="R139" s="10">
        <v>43.250990659564096</v>
      </c>
      <c r="S139" s="10" t="s">
        <v>45</v>
      </c>
      <c r="T139" s="10" t="s">
        <v>140</v>
      </c>
    </row>
    <row r="140" spans="1:20" x14ac:dyDescent="0.35">
      <c r="A140" s="9">
        <v>44196</v>
      </c>
      <c r="B140" s="10">
        <v>216832586290.45001</v>
      </c>
      <c r="C140" s="10">
        <v>8138707708.8000002</v>
      </c>
      <c r="D140" s="10">
        <v>-3611328571.9699998</v>
      </c>
      <c r="E140" s="10">
        <v>-3439414915.8000002</v>
      </c>
      <c r="F140" s="10"/>
      <c r="G140" s="10">
        <v>1.3834074650423782</v>
      </c>
      <c r="H140" s="10">
        <v>30.345986972817791</v>
      </c>
      <c r="I140" s="10">
        <v>3614534476.46</v>
      </c>
      <c r="J140" s="10">
        <v>169020078167.73999</v>
      </c>
      <c r="K140" s="10">
        <v>131560254010.62</v>
      </c>
      <c r="L140" s="10">
        <v>20066480455.77</v>
      </c>
      <c r="M140" s="10">
        <v>3.27</v>
      </c>
      <c r="N140" s="10">
        <v>196766105834.67999</v>
      </c>
      <c r="O140" s="10">
        <v>8138707708.8000002</v>
      </c>
      <c r="P140" s="10" t="s">
        <v>26</v>
      </c>
      <c r="Q140" s="10" t="s">
        <v>28</v>
      </c>
      <c r="R140" s="10">
        <v>43.618460853268694</v>
      </c>
      <c r="S140" s="10" t="s">
        <v>45</v>
      </c>
      <c r="T140" s="10" t="s">
        <v>140</v>
      </c>
    </row>
    <row r="141" spans="1:20" x14ac:dyDescent="0.35">
      <c r="A141" s="9">
        <v>44561</v>
      </c>
      <c r="B141" s="10">
        <v>219123942629.04001</v>
      </c>
      <c r="C141" s="10">
        <v>5500472182.3999996</v>
      </c>
      <c r="D141" s="10">
        <v>-1617920973.9300001</v>
      </c>
      <c r="E141" s="10">
        <v>-1437122392.4200001</v>
      </c>
      <c r="F141" s="10"/>
      <c r="G141" s="10">
        <v>-0.38268895535030162</v>
      </c>
      <c r="H141" s="10">
        <v>-76.106657808331221</v>
      </c>
      <c r="I141" s="10">
        <v>4911127344.46</v>
      </c>
      <c r="J141" s="10">
        <v>171663561258.07001</v>
      </c>
      <c r="K141" s="10">
        <v>144714012824.22</v>
      </c>
      <c r="L141" s="10">
        <v>14794355122.940001</v>
      </c>
      <c r="M141" s="10">
        <v>2.21</v>
      </c>
      <c r="N141" s="10">
        <v>204329587506.10001</v>
      </c>
      <c r="O141" s="10">
        <v>5500472182.3999996</v>
      </c>
      <c r="P141" s="10" t="s">
        <v>26</v>
      </c>
      <c r="Q141" s="10" t="s">
        <v>28</v>
      </c>
      <c r="R141" s="10">
        <v>42.038871700929278</v>
      </c>
      <c r="S141" s="10" t="s">
        <v>45</v>
      </c>
      <c r="T141" s="10" t="s">
        <v>140</v>
      </c>
    </row>
    <row r="142" spans="1:20" x14ac:dyDescent="0.35">
      <c r="A142" s="9">
        <v>44926</v>
      </c>
      <c r="B142" s="10">
        <v>214597822755.32999</v>
      </c>
      <c r="C142" s="10">
        <v>3384905958.4000001</v>
      </c>
      <c r="D142" s="10">
        <v>-3206596945.4899998</v>
      </c>
      <c r="E142" s="10">
        <v>-3036787456.21</v>
      </c>
      <c r="F142" s="10"/>
      <c r="G142" s="10">
        <v>0.21388459240649618</v>
      </c>
      <c r="H142" s="10">
        <v>41.895597136439896</v>
      </c>
      <c r="I142" s="10">
        <v>8802848101.5200005</v>
      </c>
      <c r="J142" s="10">
        <v>169659344368.54001</v>
      </c>
      <c r="K142" s="10">
        <v>184699778192.45001</v>
      </c>
      <c r="L142" s="10">
        <v>8416051851.6000004</v>
      </c>
      <c r="M142" s="10">
        <v>1.36</v>
      </c>
      <c r="N142" s="10">
        <v>206181770903.73001</v>
      </c>
      <c r="O142" s="10">
        <v>3384905958.4000001</v>
      </c>
      <c r="P142" s="10" t="s">
        <v>26</v>
      </c>
      <c r="Q142" s="10" t="s">
        <v>28</v>
      </c>
      <c r="R142" s="10">
        <v>40.605603978773701</v>
      </c>
      <c r="S142" s="10" t="s">
        <v>45</v>
      </c>
      <c r="T142" s="10" t="s">
        <v>140</v>
      </c>
    </row>
    <row r="143" spans="1:20" x14ac:dyDescent="0.35">
      <c r="A143" s="9">
        <v>45291</v>
      </c>
      <c r="B143" s="10">
        <v>200228170981.57001</v>
      </c>
      <c r="C143" s="10"/>
      <c r="D143" s="10">
        <v>-3284164423.8200002</v>
      </c>
      <c r="E143" s="10">
        <v>-3134658657.3000002</v>
      </c>
      <c r="F143" s="10"/>
      <c r="G143" s="10">
        <v>-0.20272731075465228</v>
      </c>
      <c r="H143" s="10">
        <v>-120.55704625882038</v>
      </c>
      <c r="I143" s="10">
        <v>6395349345.6499996</v>
      </c>
      <c r="J143" s="10">
        <v>154800931094.79999</v>
      </c>
      <c r="K143" s="10">
        <v>191095561869.78</v>
      </c>
      <c r="L143" s="10">
        <v>674716948.48000002</v>
      </c>
      <c r="M143" s="10">
        <v>0.43</v>
      </c>
      <c r="N143" s="10">
        <v>199553454033.09</v>
      </c>
      <c r="O143" s="10"/>
      <c r="P143" s="10" t="s">
        <v>26</v>
      </c>
      <c r="Q143" s="10" t="s">
        <v>28</v>
      </c>
      <c r="R143" s="10">
        <v>42.513033753854316</v>
      </c>
      <c r="S143" s="10" t="s">
        <v>45</v>
      </c>
      <c r="T143" s="10" t="s">
        <v>140</v>
      </c>
    </row>
    <row r="144" spans="1:20" x14ac:dyDescent="0.35">
      <c r="A144" s="9">
        <v>45657</v>
      </c>
      <c r="B144" s="10">
        <v>164706868360.37</v>
      </c>
      <c r="C144" s="10"/>
      <c r="D144" s="10">
        <v>-17742620847.529999</v>
      </c>
      <c r="E144" s="10">
        <v>-17595860065.610001</v>
      </c>
      <c r="F144" s="10"/>
      <c r="G144" s="10">
        <v>-0.25002535074477283</v>
      </c>
      <c r="H144" s="10">
        <v>-79187.104278360304</v>
      </c>
      <c r="I144" s="10">
        <v>8044116627.3800001</v>
      </c>
      <c r="J144" s="10">
        <v>125292795632.28</v>
      </c>
      <c r="K144" s="10">
        <v>183500080838.42001</v>
      </c>
      <c r="L144" s="10">
        <v>-22430689527.029999</v>
      </c>
      <c r="M144" s="10">
        <v>0.43</v>
      </c>
      <c r="N144" s="10">
        <v>187137557887.39999</v>
      </c>
      <c r="O144" s="10"/>
      <c r="P144" s="10" t="s">
        <v>26</v>
      </c>
      <c r="Q144" s="10" t="s">
        <v>28</v>
      </c>
      <c r="R144" s="10">
        <v>45.494348128222569</v>
      </c>
      <c r="S144" s="10" t="s">
        <v>45</v>
      </c>
      <c r="T144" s="10" t="s">
        <v>140</v>
      </c>
    </row>
    <row r="145" spans="1:20" x14ac:dyDescent="0.35">
      <c r="A145" s="9">
        <v>41274</v>
      </c>
      <c r="B145" s="10">
        <v>123926332991.27</v>
      </c>
      <c r="C145" s="10">
        <v>31389990175.439999</v>
      </c>
      <c r="D145" s="10">
        <v>6496307367.6499996</v>
      </c>
      <c r="E145" s="10">
        <v>6572718162.6400003</v>
      </c>
      <c r="F145" s="10"/>
      <c r="G145" s="10">
        <v>1.3190501963130945</v>
      </c>
      <c r="H145" s="10">
        <v>211.70255804884465</v>
      </c>
      <c r="I145" s="10">
        <v>32863360359.98</v>
      </c>
      <c r="J145" s="10">
        <v>97779819872.660004</v>
      </c>
      <c r="K145" s="10">
        <v>49753667559.139999</v>
      </c>
      <c r="L145" s="10">
        <v>34555389126.519997</v>
      </c>
      <c r="M145" s="10">
        <v>7.02</v>
      </c>
      <c r="N145" s="10">
        <v>72582268561.350006</v>
      </c>
      <c r="O145" s="10">
        <v>31389990175.439999</v>
      </c>
      <c r="P145" s="10" t="s">
        <v>26</v>
      </c>
      <c r="Q145" s="10" t="s">
        <v>28</v>
      </c>
      <c r="R145" s="10">
        <v>28.624854574389484</v>
      </c>
      <c r="S145" s="10" t="s">
        <v>44</v>
      </c>
      <c r="T145" s="10" t="s">
        <v>140</v>
      </c>
    </row>
    <row r="146" spans="1:20" x14ac:dyDescent="0.35">
      <c r="A146" s="9">
        <v>41639</v>
      </c>
      <c r="B146" s="10">
        <v>111936332891.21001</v>
      </c>
      <c r="C146" s="10">
        <v>29869677260.959999</v>
      </c>
      <c r="D146" s="10">
        <v>6412153730.5699997</v>
      </c>
      <c r="E146" s="10">
        <v>6472721864.9499998</v>
      </c>
      <c r="F146" s="10"/>
      <c r="G146" s="10">
        <v>-0.45311870665553489</v>
      </c>
      <c r="H146" s="10">
        <v>68.967755035501426</v>
      </c>
      <c r="I146" s="10">
        <v>34835841295.080002</v>
      </c>
      <c r="J146" s="10">
        <v>110033553091.64</v>
      </c>
      <c r="K146" s="10">
        <v>60052524819.230003</v>
      </c>
      <c r="L146" s="10">
        <v>38035455691.419998</v>
      </c>
      <c r="M146" s="10">
        <v>6.68</v>
      </c>
      <c r="N146" s="10">
        <v>85890877299.850006</v>
      </c>
      <c r="O146" s="10">
        <v>29869677260.959999</v>
      </c>
      <c r="P146" s="10" t="s">
        <v>26</v>
      </c>
      <c r="Q146" s="10" t="s">
        <v>28</v>
      </c>
      <c r="R146" s="10">
        <v>28.465015326633598</v>
      </c>
      <c r="S146" s="10" t="s">
        <v>44</v>
      </c>
      <c r="T146" s="10" t="s">
        <v>140</v>
      </c>
    </row>
    <row r="147" spans="1:20" x14ac:dyDescent="0.35">
      <c r="A147" s="9">
        <v>42004</v>
      </c>
      <c r="B147" s="10">
        <v>124667406137.16</v>
      </c>
      <c r="C147" s="10">
        <v>51247598215.520004</v>
      </c>
      <c r="D147" s="10">
        <v>7356878992.8100004</v>
      </c>
      <c r="E147" s="10">
        <v>7412452711.5200005</v>
      </c>
      <c r="F147" s="10"/>
      <c r="G147" s="10">
        <v>-0.16198489557186294</v>
      </c>
      <c r="H147" s="10">
        <v>192.60150985824652</v>
      </c>
      <c r="I147" s="10">
        <v>45636377981.629997</v>
      </c>
      <c r="J147" s="10">
        <v>107852453163.39</v>
      </c>
      <c r="K147" s="10">
        <v>55625997984.470001</v>
      </c>
      <c r="L147" s="10">
        <v>40519470837.690002</v>
      </c>
      <c r="M147" s="10">
        <v>11.41</v>
      </c>
      <c r="N147" s="10">
        <v>84147935299.470001</v>
      </c>
      <c r="O147" s="10">
        <v>51247598215.520004</v>
      </c>
      <c r="P147" s="10" t="s">
        <v>26</v>
      </c>
      <c r="Q147" s="10" t="s">
        <v>28</v>
      </c>
      <c r="R147" s="10">
        <v>32.85487077409492</v>
      </c>
      <c r="S147" s="10" t="s">
        <v>44</v>
      </c>
      <c r="T147" s="10" t="s">
        <v>140</v>
      </c>
    </row>
    <row r="148" spans="1:20" x14ac:dyDescent="0.35">
      <c r="A148" s="9">
        <v>42369</v>
      </c>
      <c r="B148" s="10">
        <v>139346146137.67999</v>
      </c>
      <c r="C148" s="10">
        <v>62094616233.600006</v>
      </c>
      <c r="D148" s="10">
        <v>6450047977.6800003</v>
      </c>
      <c r="E148" s="10">
        <v>6508155795.5200005</v>
      </c>
      <c r="F148" s="10"/>
      <c r="G148" s="10">
        <v>2.2151620179461853</v>
      </c>
      <c r="H148" s="10">
        <v>-441.36429012458211</v>
      </c>
      <c r="I148" s="10">
        <v>32733267202.880001</v>
      </c>
      <c r="J148" s="10">
        <v>117023772293.39999</v>
      </c>
      <c r="K148" s="10">
        <v>65014579124.019997</v>
      </c>
      <c r="L148" s="10">
        <v>47616075610.580002</v>
      </c>
      <c r="M148" s="10">
        <v>13.8</v>
      </c>
      <c r="N148" s="10">
        <v>91730070527.100006</v>
      </c>
      <c r="O148" s="10">
        <v>62094616233.600006</v>
      </c>
      <c r="P148" s="10" t="s">
        <v>26</v>
      </c>
      <c r="Q148" s="10" t="s">
        <v>28</v>
      </c>
      <c r="R148" s="10">
        <v>27.783710879579971</v>
      </c>
      <c r="S148" s="10" t="s">
        <v>44</v>
      </c>
      <c r="T148" s="10" t="s">
        <v>140</v>
      </c>
    </row>
    <row r="149" spans="1:20" x14ac:dyDescent="0.35">
      <c r="A149" s="9">
        <v>42735</v>
      </c>
      <c r="B149" s="10">
        <v>153634258937.25</v>
      </c>
      <c r="C149" s="10">
        <v>58496667765.120003</v>
      </c>
      <c r="D149" s="10">
        <v>11110365516.870001</v>
      </c>
      <c r="E149" s="10">
        <v>11201082883.040001</v>
      </c>
      <c r="F149" s="10"/>
      <c r="G149" s="10">
        <v>2.6301556692289814</v>
      </c>
      <c r="H149" s="10">
        <v>260.20017234566626</v>
      </c>
      <c r="I149" s="10">
        <v>55329480540.769997</v>
      </c>
      <c r="J149" s="10">
        <v>124745132420.64999</v>
      </c>
      <c r="K149" s="10">
        <v>68616172112.169998</v>
      </c>
      <c r="L149" s="10">
        <v>53103871667.010002</v>
      </c>
      <c r="M149" s="10">
        <v>12.96</v>
      </c>
      <c r="N149" s="10">
        <v>100530387270.24001</v>
      </c>
      <c r="O149" s="10">
        <v>58496667765.120003</v>
      </c>
      <c r="P149" s="10" t="s">
        <v>26</v>
      </c>
      <c r="Q149" s="10" t="s">
        <v>28</v>
      </c>
      <c r="R149" s="10">
        <v>23.845217731185119</v>
      </c>
      <c r="S149" s="10" t="s">
        <v>44</v>
      </c>
      <c r="T149" s="10" t="s">
        <v>140</v>
      </c>
    </row>
    <row r="150" spans="1:20" x14ac:dyDescent="0.35">
      <c r="A150" s="9">
        <v>43100</v>
      </c>
      <c r="B150" s="10">
        <v>207942066457.45001</v>
      </c>
      <c r="C150" s="10">
        <v>57019190514.360001</v>
      </c>
      <c r="D150" s="10">
        <v>11480379378.540001</v>
      </c>
      <c r="E150" s="10">
        <v>11621216113.290001</v>
      </c>
      <c r="F150" s="10"/>
      <c r="G150" s="10">
        <v>-1.5277636539444048</v>
      </c>
      <c r="H150" s="10">
        <v>-112.22176178556813</v>
      </c>
      <c r="I150" s="10">
        <v>37332209455.650002</v>
      </c>
      <c r="J150" s="10">
        <v>169976470851.54999</v>
      </c>
      <c r="K150" s="10">
        <v>104494064425.87</v>
      </c>
      <c r="L150" s="10">
        <v>57955964898.279999</v>
      </c>
      <c r="M150" s="10">
        <v>12.63</v>
      </c>
      <c r="N150" s="10">
        <v>149986101559.17001</v>
      </c>
      <c r="O150" s="10">
        <v>57019190514.360001</v>
      </c>
      <c r="P150" s="10" t="s">
        <v>26</v>
      </c>
      <c r="Q150" s="10" t="s">
        <v>28</v>
      </c>
      <c r="R150" s="10">
        <v>25.397760596419168</v>
      </c>
      <c r="S150" s="10" t="s">
        <v>44</v>
      </c>
      <c r="T150" s="10" t="s">
        <v>140</v>
      </c>
    </row>
    <row r="151" spans="1:20" x14ac:dyDescent="0.35">
      <c r="A151" s="9">
        <v>43465</v>
      </c>
      <c r="B151" s="10">
        <v>278355032668.17999</v>
      </c>
      <c r="C151" s="10">
        <v>43430293962.639999</v>
      </c>
      <c r="D151" s="10">
        <v>14414387286.58</v>
      </c>
      <c r="E151" s="10">
        <v>14576594875.75</v>
      </c>
      <c r="F151" s="10"/>
      <c r="G151" s="10">
        <v>-0.21395223671128788</v>
      </c>
      <c r="H151" s="10">
        <v>-12.794810533409043</v>
      </c>
      <c r="I151" s="10">
        <v>50311817459.279999</v>
      </c>
      <c r="J151" s="10">
        <v>227637400534.57001</v>
      </c>
      <c r="K151" s="10">
        <v>140612930751.01999</v>
      </c>
      <c r="L151" s="10">
        <v>66477564861.589996</v>
      </c>
      <c r="M151" s="10">
        <v>9.6199999999999992</v>
      </c>
      <c r="N151" s="10">
        <v>211877467806.59</v>
      </c>
      <c r="O151" s="10">
        <v>43430293962.639999</v>
      </c>
      <c r="P151" s="10" t="s">
        <v>26</v>
      </c>
      <c r="Q151" s="10" t="s">
        <v>28</v>
      </c>
      <c r="R151" s="10">
        <v>28.715807785905849</v>
      </c>
      <c r="S151" s="10" t="s">
        <v>44</v>
      </c>
      <c r="T151" s="10" t="s">
        <v>140</v>
      </c>
    </row>
    <row r="152" spans="1:20" x14ac:dyDescent="0.35">
      <c r="A152" s="9">
        <v>43830</v>
      </c>
      <c r="B152" s="10">
        <v>334815965123.19</v>
      </c>
      <c r="C152" s="10">
        <v>65461461794</v>
      </c>
      <c r="D152" s="10">
        <v>19571737555.169998</v>
      </c>
      <c r="E152" s="10">
        <v>19767480375.400002</v>
      </c>
      <c r="F152" s="10"/>
      <c r="G152" s="10">
        <v>0.64825880122079582</v>
      </c>
      <c r="H152" s="10">
        <v>234.24765174759847</v>
      </c>
      <c r="I152" s="10">
        <v>63084210229.550003</v>
      </c>
      <c r="J152" s="10">
        <v>270823222783.26999</v>
      </c>
      <c r="K152" s="10">
        <v>188330243575.29001</v>
      </c>
      <c r="L152" s="10">
        <v>82369439527.559998</v>
      </c>
      <c r="M152" s="10">
        <v>14.5</v>
      </c>
      <c r="N152" s="10">
        <v>252446525595.63</v>
      </c>
      <c r="O152" s="10">
        <v>65461461794</v>
      </c>
      <c r="P152" s="10" t="s">
        <v>26</v>
      </c>
      <c r="Q152" s="10" t="s">
        <v>28</v>
      </c>
      <c r="R152" s="10">
        <v>27.685167322288422</v>
      </c>
      <c r="S152" s="10" t="s">
        <v>44</v>
      </c>
      <c r="T152" s="10" t="s">
        <v>140</v>
      </c>
    </row>
    <row r="153" spans="1:20" x14ac:dyDescent="0.35">
      <c r="A153" s="9">
        <v>44196</v>
      </c>
      <c r="B153" s="10">
        <v>401629585060.26001</v>
      </c>
      <c r="C153" s="10">
        <v>60946878222</v>
      </c>
      <c r="D153" s="10">
        <v>19431250596.889999</v>
      </c>
      <c r="E153" s="10">
        <v>19957479025.130001</v>
      </c>
      <c r="F153" s="10"/>
      <c r="G153" s="10">
        <v>0.55260119422481668</v>
      </c>
      <c r="H153" s="10">
        <v>81.678187443209794</v>
      </c>
      <c r="I153" s="10">
        <v>83656711003.660004</v>
      </c>
      <c r="J153" s="10">
        <v>322573153220.23999</v>
      </c>
      <c r="K153" s="10">
        <v>228994794475.59</v>
      </c>
      <c r="L153" s="10">
        <v>94037807475.800003</v>
      </c>
      <c r="M153" s="10">
        <v>13.5</v>
      </c>
      <c r="N153" s="10">
        <v>307591777584.46002</v>
      </c>
      <c r="O153" s="10">
        <v>60946878222</v>
      </c>
      <c r="P153" s="10" t="s">
        <v>26</v>
      </c>
      <c r="Q153" s="10" t="s">
        <v>28</v>
      </c>
      <c r="R153" s="10">
        <v>27.45513621851476</v>
      </c>
      <c r="S153" s="10" t="s">
        <v>44</v>
      </c>
      <c r="T153" s="10" t="s">
        <v>140</v>
      </c>
    </row>
    <row r="154" spans="1:20" x14ac:dyDescent="0.35">
      <c r="A154" s="9">
        <v>44561</v>
      </c>
      <c r="B154" s="10">
        <v>462809510230.21997</v>
      </c>
      <c r="C154" s="10">
        <v>58554148928.840004</v>
      </c>
      <c r="D154" s="10">
        <v>16341344017.299999</v>
      </c>
      <c r="E154" s="10">
        <v>16871364225.51</v>
      </c>
      <c r="F154" s="10"/>
      <c r="G154" s="10">
        <v>1.1366154530694423</v>
      </c>
      <c r="H154" s="10">
        <v>90.469048166885401</v>
      </c>
      <c r="I154" s="10">
        <v>98934915652.149994</v>
      </c>
      <c r="J154" s="10">
        <v>365099271203.89001</v>
      </c>
      <c r="K154" s="10">
        <v>258077909015.14001</v>
      </c>
      <c r="L154" s="10">
        <v>110206832526.77</v>
      </c>
      <c r="M154" s="10">
        <v>12.97</v>
      </c>
      <c r="N154" s="10">
        <v>352602677703.45001</v>
      </c>
      <c r="O154" s="10">
        <v>58554148928.840004</v>
      </c>
      <c r="P154" s="10" t="s">
        <v>26</v>
      </c>
      <c r="Q154" s="10" t="s">
        <v>28</v>
      </c>
      <c r="R154" s="10">
        <v>27.265307464038457</v>
      </c>
      <c r="S154" s="10" t="s">
        <v>44</v>
      </c>
      <c r="T154" s="10" t="s">
        <v>140</v>
      </c>
    </row>
    <row r="155" spans="1:20" x14ac:dyDescent="0.35">
      <c r="A155" s="9">
        <v>44926</v>
      </c>
      <c r="B155" s="10">
        <v>419383217620.79999</v>
      </c>
      <c r="C155" s="10">
        <v>46184189941.560005</v>
      </c>
      <c r="D155" s="10">
        <v>13677793747.35</v>
      </c>
      <c r="E155" s="10">
        <v>14276559477.42</v>
      </c>
      <c r="F155" s="10"/>
      <c r="G155" s="10">
        <v>1.7663132640483601</v>
      </c>
      <c r="H155" s="10">
        <v>-194.33958817526005</v>
      </c>
      <c r="I155" s="10">
        <v>120035398013.77</v>
      </c>
      <c r="J155" s="10">
        <v>313983914413.69</v>
      </c>
      <c r="K155" s="10">
        <v>221182894395.14001</v>
      </c>
      <c r="L155" s="10">
        <v>116256764472.37</v>
      </c>
      <c r="M155" s="10">
        <v>10.23</v>
      </c>
      <c r="N155" s="10">
        <v>303126453148.42999</v>
      </c>
      <c r="O155" s="10">
        <v>46184189941.560005</v>
      </c>
      <c r="P155" s="10" t="s">
        <v>26</v>
      </c>
      <c r="Q155" s="10" t="s">
        <v>28</v>
      </c>
      <c r="R155" s="10">
        <v>28.024485946454547</v>
      </c>
      <c r="S155" s="10" t="s">
        <v>44</v>
      </c>
      <c r="T155" s="10" t="s">
        <v>140</v>
      </c>
    </row>
    <row r="156" spans="1:20" x14ac:dyDescent="0.35">
      <c r="A156" s="9">
        <v>45291</v>
      </c>
      <c r="B156" s="10">
        <v>373846800000.65997</v>
      </c>
      <c r="C156" s="10">
        <v>19683584373.920002</v>
      </c>
      <c r="D156" s="10">
        <v>7006304300.7200003</v>
      </c>
      <c r="E156" s="10">
        <v>7597324093.3000002</v>
      </c>
      <c r="F156" s="10"/>
      <c r="G156" s="10">
        <v>0.31371327040976471</v>
      </c>
      <c r="H156" s="10">
        <v>-8.5290030460250659</v>
      </c>
      <c r="I156" s="10">
        <v>98007723764.240005</v>
      </c>
      <c r="J156" s="10">
        <v>272263533069.70001</v>
      </c>
      <c r="K156" s="10">
        <v>198715809752.78</v>
      </c>
      <c r="L156" s="10">
        <v>116900819088.22</v>
      </c>
      <c r="M156" s="10">
        <v>4.3600000000000003</v>
      </c>
      <c r="N156" s="10">
        <v>256945980912.44</v>
      </c>
      <c r="O156" s="10">
        <v>19683584373.920002</v>
      </c>
      <c r="P156" s="10" t="s">
        <v>26</v>
      </c>
      <c r="Q156" s="10" t="s">
        <v>28</v>
      </c>
      <c r="R156" s="10">
        <v>25.028704065265455</v>
      </c>
      <c r="S156" s="10" t="s">
        <v>44</v>
      </c>
      <c r="T156" s="10" t="s">
        <v>140</v>
      </c>
    </row>
    <row r="157" spans="1:20" x14ac:dyDescent="0.35">
      <c r="A157" s="9">
        <v>45657</v>
      </c>
      <c r="B157" s="10">
        <v>293906275277.89001</v>
      </c>
      <c r="C157" s="10">
        <v>19773876045.360001</v>
      </c>
      <c r="D157" s="10">
        <v>-5110519553.3800001</v>
      </c>
      <c r="E157" s="10">
        <v>-4537352736.4200001</v>
      </c>
      <c r="F157" s="10"/>
      <c r="G157" s="10">
        <v>6.6515419661595612</v>
      </c>
      <c r="H157" s="10">
        <v>-181.52526389853898</v>
      </c>
      <c r="I157" s="10">
        <v>75269121839.020004</v>
      </c>
      <c r="J157" s="10">
        <v>199438148862.54999</v>
      </c>
      <c r="K157" s="10">
        <v>142609720239.87</v>
      </c>
      <c r="L157" s="10">
        <v>103473532809.89</v>
      </c>
      <c r="M157" s="10">
        <v>4.38</v>
      </c>
      <c r="N157" s="10">
        <v>190432742468</v>
      </c>
      <c r="O157" s="10">
        <v>19773876045.360001</v>
      </c>
      <c r="P157" s="10" t="s">
        <v>26</v>
      </c>
      <c r="Q157" s="10" t="s">
        <v>28</v>
      </c>
      <c r="R157" s="10">
        <v>25.408822565388036</v>
      </c>
      <c r="S157" s="10" t="s">
        <v>44</v>
      </c>
      <c r="T157" s="10" t="s">
        <v>140</v>
      </c>
    </row>
    <row r="158" spans="1:20" x14ac:dyDescent="0.35">
      <c r="A158" s="12">
        <v>2012</v>
      </c>
      <c r="B158" s="11">
        <v>14387754000</v>
      </c>
      <c r="C158" s="11"/>
      <c r="D158" s="11"/>
      <c r="E158" s="11">
        <v>716528000</v>
      </c>
      <c r="F158" s="11">
        <v>332188000</v>
      </c>
      <c r="G158" s="11"/>
      <c r="H158" s="11"/>
      <c r="I158" s="11">
        <v>339133000</v>
      </c>
      <c r="J158" s="11"/>
      <c r="K158" s="11"/>
      <c r="L158" s="11">
        <v>6419802000</v>
      </c>
      <c r="M158" s="11"/>
      <c r="N158" s="11">
        <v>7218194000</v>
      </c>
      <c r="O158" s="11"/>
      <c r="P158" s="10" t="s">
        <v>26</v>
      </c>
      <c r="Q158" s="11"/>
      <c r="R158" s="11">
        <v>0.50169011785995232</v>
      </c>
      <c r="S158" s="11" t="s">
        <v>120</v>
      </c>
      <c r="T158" s="10" t="s">
        <v>141</v>
      </c>
    </row>
    <row r="159" spans="1:20" x14ac:dyDescent="0.35">
      <c r="A159" s="12">
        <v>2013</v>
      </c>
      <c r="B159" s="11">
        <v>14959001000</v>
      </c>
      <c r="C159" s="11"/>
      <c r="D159" s="11"/>
      <c r="E159" s="11">
        <v>720591000</v>
      </c>
      <c r="F159" s="11">
        <v>332276000</v>
      </c>
      <c r="G159" s="11"/>
      <c r="H159" s="11"/>
      <c r="I159" s="11">
        <v>365468000</v>
      </c>
      <c r="J159" s="11"/>
      <c r="K159" s="11"/>
      <c r="L159" s="11">
        <v>6525405000</v>
      </c>
      <c r="M159" s="11"/>
      <c r="N159" s="11">
        <v>7627099000</v>
      </c>
      <c r="O159" s="11"/>
      <c r="P159" s="10" t="s">
        <v>26</v>
      </c>
      <c r="Q159" s="11"/>
      <c r="R159" s="11">
        <v>0.50986686878355048</v>
      </c>
      <c r="S159" s="11" t="s">
        <v>120</v>
      </c>
      <c r="T159" s="10" t="s">
        <v>141</v>
      </c>
    </row>
    <row r="160" spans="1:20" x14ac:dyDescent="0.35">
      <c r="A160" s="12">
        <v>2014</v>
      </c>
      <c r="B160" s="11">
        <v>17096587000</v>
      </c>
      <c r="C160" s="11"/>
      <c r="D160" s="11"/>
      <c r="E160" s="11">
        <v>877527000</v>
      </c>
      <c r="F160" s="11">
        <v>319898000</v>
      </c>
      <c r="G160" s="11"/>
      <c r="H160" s="11"/>
      <c r="I160" s="11">
        <v>362446000</v>
      </c>
      <c r="J160" s="11"/>
      <c r="K160" s="11"/>
      <c r="L160" s="11">
        <v>6937374000</v>
      </c>
      <c r="M160" s="11"/>
      <c r="N160" s="11">
        <v>9096732000</v>
      </c>
      <c r="O160" s="11"/>
      <c r="P160" s="10" t="s">
        <v>26</v>
      </c>
      <c r="Q160" s="11"/>
      <c r="R160" s="11">
        <v>0.53207882953480712</v>
      </c>
      <c r="S160" s="11" t="s">
        <v>120</v>
      </c>
      <c r="T160" s="10" t="s">
        <v>141</v>
      </c>
    </row>
    <row r="161" spans="1:20" x14ac:dyDescent="0.35">
      <c r="A161" s="12">
        <v>2015</v>
      </c>
      <c r="B161" s="11">
        <v>19857941000</v>
      </c>
      <c r="C161" s="11"/>
      <c r="D161" s="11"/>
      <c r="E161" s="11">
        <v>1202240000</v>
      </c>
      <c r="F161" s="11">
        <v>326818000</v>
      </c>
      <c r="G161" s="11"/>
      <c r="H161" s="11"/>
      <c r="I161" s="11">
        <v>1662829000</v>
      </c>
      <c r="J161" s="11"/>
      <c r="K161" s="11"/>
      <c r="L161" s="11">
        <v>7287465000</v>
      </c>
      <c r="M161" s="11"/>
      <c r="N161" s="11">
        <v>11431902000</v>
      </c>
      <c r="O161" s="11"/>
      <c r="P161" s="10" t="s">
        <v>26</v>
      </c>
      <c r="Q161" s="11"/>
      <c r="R161" s="11">
        <v>0.5756841557742568</v>
      </c>
      <c r="S161" s="11" t="s">
        <v>120</v>
      </c>
      <c r="T161" s="10" t="s">
        <v>141</v>
      </c>
    </row>
    <row r="162" spans="1:20" x14ac:dyDescent="0.35">
      <c r="A162" s="12">
        <v>2016</v>
      </c>
      <c r="B162" s="11">
        <v>15857787000</v>
      </c>
      <c r="C162" s="11"/>
      <c r="D162" s="11"/>
      <c r="E162" s="11">
        <v>1223426000</v>
      </c>
      <c r="F162" s="11">
        <v>348062000</v>
      </c>
      <c r="G162" s="11"/>
      <c r="H162" s="11"/>
      <c r="I162" s="11">
        <v>455444000</v>
      </c>
      <c r="J162" s="11"/>
      <c r="K162" s="11"/>
      <c r="L162" s="11">
        <v>7324475000</v>
      </c>
      <c r="M162" s="11"/>
      <c r="N162" s="11">
        <v>7330984000</v>
      </c>
      <c r="O162" s="11"/>
      <c r="P162" s="10" t="s">
        <v>26</v>
      </c>
      <c r="Q162" s="11"/>
      <c r="R162" s="11">
        <v>0.46229552711232658</v>
      </c>
      <c r="S162" s="11" t="s">
        <v>120</v>
      </c>
      <c r="T162" s="10" t="s">
        <v>141</v>
      </c>
    </row>
    <row r="163" spans="1:20" x14ac:dyDescent="0.35">
      <c r="A163" s="12">
        <v>2017</v>
      </c>
      <c r="B163" s="11">
        <v>13982904000</v>
      </c>
      <c r="C163" s="11"/>
      <c r="D163" s="11"/>
      <c r="E163" s="11">
        <v>696252000</v>
      </c>
      <c r="F163" s="11">
        <v>257045000</v>
      </c>
      <c r="G163" s="11"/>
      <c r="H163" s="11"/>
      <c r="I163" s="11">
        <v>377381000</v>
      </c>
      <c r="J163" s="11"/>
      <c r="K163" s="11"/>
      <c r="L163" s="11">
        <v>6225093000</v>
      </c>
      <c r="M163" s="11"/>
      <c r="N163" s="11">
        <v>6629761000</v>
      </c>
      <c r="O163" s="11"/>
      <c r="P163" s="10" t="s">
        <v>26</v>
      </c>
      <c r="Q163" s="11"/>
      <c r="R163" s="11">
        <v>0.47413334168639082</v>
      </c>
      <c r="S163" s="11" t="s">
        <v>120</v>
      </c>
      <c r="T163" s="10" t="s">
        <v>141</v>
      </c>
    </row>
    <row r="164" spans="1:20" x14ac:dyDescent="0.35">
      <c r="A164" s="12">
        <v>2018</v>
      </c>
      <c r="B164" s="11">
        <v>12751358000</v>
      </c>
      <c r="C164" s="11"/>
      <c r="D164" s="11"/>
      <c r="E164" s="11">
        <v>608888000</v>
      </c>
      <c r="F164" s="11">
        <v>208669000</v>
      </c>
      <c r="G164" s="11"/>
      <c r="H164" s="11"/>
      <c r="I164" s="11">
        <v>301695000</v>
      </c>
      <c r="J164" s="11"/>
      <c r="K164" s="11"/>
      <c r="L164" s="11">
        <v>5901521000</v>
      </c>
      <c r="M164" s="11"/>
      <c r="N164" s="11">
        <v>6115271000</v>
      </c>
      <c r="O164" s="11"/>
      <c r="P164" s="10" t="s">
        <v>26</v>
      </c>
      <c r="Q164" s="11"/>
      <c r="R164" s="11">
        <v>0.47957801827852381</v>
      </c>
      <c r="S164" s="11" t="s">
        <v>120</v>
      </c>
      <c r="T164" s="10" t="s">
        <v>141</v>
      </c>
    </row>
    <row r="165" spans="1:20" x14ac:dyDescent="0.35">
      <c r="A165" s="12">
        <v>2019</v>
      </c>
      <c r="B165" s="11">
        <v>12766320000</v>
      </c>
      <c r="C165" s="11"/>
      <c r="D165" s="11"/>
      <c r="E165" s="11">
        <v>579889000</v>
      </c>
      <c r="F165" s="11">
        <v>246848000</v>
      </c>
      <c r="G165" s="11"/>
      <c r="H165" s="11"/>
      <c r="I165" s="11">
        <v>304255000</v>
      </c>
      <c r="J165" s="11"/>
      <c r="K165" s="11"/>
      <c r="L165" s="11">
        <v>5441315000</v>
      </c>
      <c r="M165" s="11"/>
      <c r="N165" s="11">
        <v>6555975000</v>
      </c>
      <c r="O165" s="11"/>
      <c r="P165" s="10" t="s">
        <v>26</v>
      </c>
      <c r="Q165" s="11"/>
      <c r="R165" s="11">
        <v>0.51353679055514823</v>
      </c>
      <c r="S165" s="11" t="s">
        <v>120</v>
      </c>
      <c r="T165" s="10" t="s">
        <v>141</v>
      </c>
    </row>
    <row r="166" spans="1:20" x14ac:dyDescent="0.35">
      <c r="A166" s="12">
        <v>2020</v>
      </c>
      <c r="B166" s="11">
        <v>11707567000</v>
      </c>
      <c r="C166" s="11"/>
      <c r="D166" s="11"/>
      <c r="E166" s="11">
        <v>883651000</v>
      </c>
      <c r="F166" s="11">
        <v>185934000</v>
      </c>
      <c r="G166" s="11"/>
      <c r="H166" s="11"/>
      <c r="I166" s="11">
        <v>1052744000</v>
      </c>
      <c r="J166" s="11"/>
      <c r="K166" s="11"/>
      <c r="L166" s="11">
        <v>4909763000</v>
      </c>
      <c r="M166" s="11"/>
      <c r="N166" s="11">
        <v>6211341000</v>
      </c>
      <c r="O166" s="11"/>
      <c r="P166" s="10" t="s">
        <v>26</v>
      </c>
      <c r="Q166" s="11"/>
      <c r="R166" s="11">
        <v>0.5305407178109679</v>
      </c>
      <c r="S166" s="11" t="s">
        <v>120</v>
      </c>
      <c r="T166" s="10" t="s">
        <v>141</v>
      </c>
    </row>
    <row r="167" spans="1:20" x14ac:dyDescent="0.35">
      <c r="A167" s="12">
        <v>2021</v>
      </c>
      <c r="B167" s="11">
        <v>11066629000</v>
      </c>
      <c r="C167" s="11"/>
      <c r="D167" s="11"/>
      <c r="E167" s="11">
        <v>826044000</v>
      </c>
      <c r="F167" s="11">
        <v>145197000</v>
      </c>
      <c r="G167" s="11"/>
      <c r="H167" s="11"/>
      <c r="I167" s="11">
        <v>843991000</v>
      </c>
      <c r="J167" s="11"/>
      <c r="K167" s="11"/>
      <c r="L167" s="11">
        <v>4764876000</v>
      </c>
      <c r="M167" s="11"/>
      <c r="N167" s="11">
        <v>5748049000</v>
      </c>
      <c r="O167" s="11"/>
      <c r="P167" s="10" t="s">
        <v>26</v>
      </c>
      <c r="Q167" s="11"/>
      <c r="R167" s="11">
        <v>0.51940378592252434</v>
      </c>
      <c r="S167" s="11" t="s">
        <v>120</v>
      </c>
      <c r="T167" s="10" t="s">
        <v>141</v>
      </c>
    </row>
    <row r="168" spans="1:20" x14ac:dyDescent="0.35">
      <c r="A168" s="12">
        <v>2022</v>
      </c>
      <c r="B168" s="11">
        <v>12355794000</v>
      </c>
      <c r="C168" s="11"/>
      <c r="D168" s="11">
        <v>605567000</v>
      </c>
      <c r="E168" s="11">
        <v>315242000</v>
      </c>
      <c r="F168" s="11">
        <v>166493000</v>
      </c>
      <c r="G168" s="11"/>
      <c r="H168" s="11"/>
      <c r="I168" s="11">
        <v>826739000</v>
      </c>
      <c r="J168" s="11"/>
      <c r="K168" s="11"/>
      <c r="L168" s="11">
        <v>4585033000</v>
      </c>
      <c r="M168" s="11"/>
      <c r="N168" s="11">
        <v>7260936000</v>
      </c>
      <c r="O168" s="11"/>
      <c r="P168" s="10" t="s">
        <v>26</v>
      </c>
      <c r="Q168" s="11"/>
      <c r="R168" s="11">
        <v>0.58765434256997162</v>
      </c>
      <c r="S168" s="11" t="s">
        <v>120</v>
      </c>
      <c r="T168" s="10" t="s">
        <v>141</v>
      </c>
    </row>
    <row r="169" spans="1:20" x14ac:dyDescent="0.35">
      <c r="A169" s="12">
        <v>2023</v>
      </c>
      <c r="B169" s="11">
        <v>9531181000</v>
      </c>
      <c r="C169" s="11"/>
      <c r="D169" s="11">
        <v>598694000</v>
      </c>
      <c r="E169" s="11">
        <v>-71872000</v>
      </c>
      <c r="F169" s="11">
        <v>228840000</v>
      </c>
      <c r="G169" s="11"/>
      <c r="H169" s="11"/>
      <c r="I169" s="11">
        <v>913710000</v>
      </c>
      <c r="J169" s="11"/>
      <c r="K169" s="11"/>
      <c r="L169" s="11">
        <v>3786315000</v>
      </c>
      <c r="M169" s="11"/>
      <c r="N169" s="11">
        <v>5270704000</v>
      </c>
      <c r="O169" s="11"/>
      <c r="P169" s="10" t="s">
        <v>26</v>
      </c>
      <c r="Q169" s="11"/>
      <c r="R169" s="11">
        <v>0.55299589840965147</v>
      </c>
      <c r="S169" s="11" t="s">
        <v>120</v>
      </c>
      <c r="T169" s="10" t="s">
        <v>141</v>
      </c>
    </row>
    <row r="170" spans="1:20" x14ac:dyDescent="0.35">
      <c r="A170" s="12">
        <v>2024</v>
      </c>
      <c r="B170" s="11">
        <v>10470099000</v>
      </c>
      <c r="C170" s="11"/>
      <c r="D170" s="11">
        <v>730630000</v>
      </c>
      <c r="E170" s="11">
        <v>433106000</v>
      </c>
      <c r="F170" s="11">
        <v>196334000</v>
      </c>
      <c r="G170" s="11"/>
      <c r="H170" s="11"/>
      <c r="I170" s="11">
        <v>886272000</v>
      </c>
      <c r="J170" s="11"/>
      <c r="K170" s="11"/>
      <c r="L170" s="11">
        <v>3951300000</v>
      </c>
      <c r="M170" s="11"/>
      <c r="N170" s="11">
        <v>5915143000</v>
      </c>
      <c r="O170" s="11"/>
      <c r="P170" s="10" t="s">
        <v>26</v>
      </c>
      <c r="Q170" s="11"/>
      <c r="R170" s="11">
        <v>0.56495578504081001</v>
      </c>
      <c r="S170" s="11" t="s">
        <v>120</v>
      </c>
      <c r="T170" s="10" t="s">
        <v>141</v>
      </c>
    </row>
    <row r="171" spans="1:20" x14ac:dyDescent="0.35">
      <c r="A171" s="12">
        <v>2012</v>
      </c>
      <c r="B171" s="11">
        <v>21965975000</v>
      </c>
      <c r="C171" s="11"/>
      <c r="D171" s="11">
        <v>677628000</v>
      </c>
      <c r="E171" s="11"/>
      <c r="F171" s="11"/>
      <c r="G171" s="11"/>
      <c r="H171" s="11"/>
      <c r="I171" s="11"/>
      <c r="J171" s="11"/>
      <c r="K171" s="11"/>
      <c r="L171" s="11">
        <v>6850935000</v>
      </c>
      <c r="M171" s="11"/>
      <c r="N171" s="11">
        <v>13117679000</v>
      </c>
      <c r="O171" s="11"/>
      <c r="P171" s="10" t="s">
        <v>26</v>
      </c>
      <c r="Q171" s="11"/>
      <c r="R171" s="11">
        <v>0.59718173220173476</v>
      </c>
      <c r="S171" s="11" t="s">
        <v>121</v>
      </c>
      <c r="T171" s="10" t="s">
        <v>141</v>
      </c>
    </row>
    <row r="172" spans="1:20" x14ac:dyDescent="0.35">
      <c r="A172" s="12">
        <v>2013</v>
      </c>
      <c r="B172" s="11">
        <v>20097224000</v>
      </c>
      <c r="C172" s="11"/>
      <c r="D172" s="11">
        <v>874190000</v>
      </c>
      <c r="E172" s="11"/>
      <c r="F172" s="11"/>
      <c r="G172" s="11"/>
      <c r="H172" s="11"/>
      <c r="I172" s="11"/>
      <c r="J172" s="11"/>
      <c r="K172" s="11"/>
      <c r="L172" s="11">
        <v>6765232000</v>
      </c>
      <c r="M172" s="11"/>
      <c r="N172" s="11">
        <v>11498860000</v>
      </c>
      <c r="O172" s="11"/>
      <c r="P172" s="10" t="s">
        <v>26</v>
      </c>
      <c r="Q172" s="11"/>
      <c r="R172" s="11">
        <v>0.57216160799123306</v>
      </c>
      <c r="S172" s="11" t="s">
        <v>121</v>
      </c>
      <c r="T172" s="10" t="s">
        <v>141</v>
      </c>
    </row>
    <row r="173" spans="1:20" x14ac:dyDescent="0.35">
      <c r="A173" s="12">
        <v>2014</v>
      </c>
      <c r="B173" s="11">
        <v>21248320000</v>
      </c>
      <c r="C173" s="11"/>
      <c r="D173" s="11">
        <v>815642000</v>
      </c>
      <c r="E173" s="11"/>
      <c r="F173" s="11"/>
      <c r="G173" s="11"/>
      <c r="H173" s="11"/>
      <c r="I173" s="11"/>
      <c r="J173" s="11"/>
      <c r="K173" s="11"/>
      <c r="L173" s="11">
        <v>6745426000</v>
      </c>
      <c r="M173" s="11"/>
      <c r="N173" s="11">
        <v>12421158000</v>
      </c>
      <c r="O173" s="11"/>
      <c r="P173" s="10" t="s">
        <v>26</v>
      </c>
      <c r="Q173" s="11"/>
      <c r="R173" s="11">
        <v>0.58457129787202</v>
      </c>
      <c r="S173" s="11" t="s">
        <v>121</v>
      </c>
      <c r="T173" s="10" t="s">
        <v>141</v>
      </c>
    </row>
    <row r="174" spans="1:20" x14ac:dyDescent="0.35">
      <c r="A174" s="12">
        <v>2015</v>
      </c>
      <c r="B174" s="11">
        <v>21143293000</v>
      </c>
      <c r="C174" s="11"/>
      <c r="D174" s="11">
        <v>760248000</v>
      </c>
      <c r="E174" s="11"/>
      <c r="F174" s="11"/>
      <c r="G174" s="11"/>
      <c r="H174" s="11"/>
      <c r="I174" s="11"/>
      <c r="J174" s="11"/>
      <c r="K174" s="11"/>
      <c r="L174" s="11">
        <v>6697595000</v>
      </c>
      <c r="M174" s="11"/>
      <c r="N174" s="11">
        <v>12437994000</v>
      </c>
      <c r="O174" s="11"/>
      <c r="P174" s="10" t="s">
        <v>26</v>
      </c>
      <c r="Q174" s="11"/>
      <c r="R174" s="11">
        <v>0.58827137286514453</v>
      </c>
      <c r="S174" s="11" t="s">
        <v>121</v>
      </c>
      <c r="T174" s="10" t="s">
        <v>141</v>
      </c>
    </row>
    <row r="175" spans="1:20" x14ac:dyDescent="0.35">
      <c r="A175" s="12">
        <v>2016</v>
      </c>
      <c r="B175" s="11">
        <v>20814847000</v>
      </c>
      <c r="C175" s="11"/>
      <c r="D175" s="11">
        <v>550791000</v>
      </c>
      <c r="E175" s="11"/>
      <c r="F175" s="11"/>
      <c r="G175" s="11"/>
      <c r="H175" s="11"/>
      <c r="I175" s="11"/>
      <c r="J175" s="11"/>
      <c r="K175" s="11"/>
      <c r="L175" s="11">
        <v>6898519000</v>
      </c>
      <c r="M175" s="11"/>
      <c r="N175" s="11">
        <v>11917905000</v>
      </c>
      <c r="O175" s="11"/>
      <c r="P175" s="10" t="s">
        <v>26</v>
      </c>
      <c r="Q175" s="11"/>
      <c r="R175" s="11">
        <v>0.57256750433957071</v>
      </c>
      <c r="S175" s="11" t="s">
        <v>121</v>
      </c>
      <c r="T175" s="10" t="s">
        <v>141</v>
      </c>
    </row>
    <row r="176" spans="1:20" x14ac:dyDescent="0.35">
      <c r="A176" s="12">
        <v>2017</v>
      </c>
      <c r="B176" s="11">
        <v>17397934000</v>
      </c>
      <c r="C176" s="11"/>
      <c r="D176" s="11">
        <v>607366000</v>
      </c>
      <c r="E176" s="11"/>
      <c r="F176" s="11"/>
      <c r="G176" s="11"/>
      <c r="H176" s="11"/>
      <c r="I176" s="11">
        <v>2084126000</v>
      </c>
      <c r="J176" s="11"/>
      <c r="K176" s="11"/>
      <c r="L176" s="11">
        <v>4337652000</v>
      </c>
      <c r="M176" s="11"/>
      <c r="N176" s="11">
        <v>11405296000</v>
      </c>
      <c r="O176" s="11"/>
      <c r="P176" s="10" t="s">
        <v>26</v>
      </c>
      <c r="Q176" s="11"/>
      <c r="R176" s="11">
        <v>0.65555461930134928</v>
      </c>
      <c r="S176" s="11" t="s">
        <v>121</v>
      </c>
      <c r="T176" s="10" t="s">
        <v>141</v>
      </c>
    </row>
    <row r="177" spans="1:20" x14ac:dyDescent="0.35">
      <c r="A177" s="12">
        <v>2018</v>
      </c>
      <c r="B177" s="11">
        <v>17180794000</v>
      </c>
      <c r="C177" s="11"/>
      <c r="D177" s="11">
        <v>582961000</v>
      </c>
      <c r="E177" s="11"/>
      <c r="F177" s="11"/>
      <c r="G177" s="11"/>
      <c r="H177" s="11"/>
      <c r="I177" s="11">
        <v>536437000</v>
      </c>
      <c r="J177" s="11"/>
      <c r="K177" s="11"/>
      <c r="L177" s="11">
        <v>4465231000</v>
      </c>
      <c r="M177" s="11"/>
      <c r="N177" s="11">
        <v>11289349000</v>
      </c>
      <c r="O177" s="11"/>
      <c r="P177" s="10" t="s">
        <v>26</v>
      </c>
      <c r="Q177" s="11"/>
      <c r="R177" s="11">
        <v>0.65709122640082873</v>
      </c>
      <c r="S177" s="11" t="s">
        <v>121</v>
      </c>
      <c r="T177" s="10" t="s">
        <v>141</v>
      </c>
    </row>
    <row r="178" spans="1:20" x14ac:dyDescent="0.35">
      <c r="A178" s="12">
        <v>2019</v>
      </c>
      <c r="B178" s="11">
        <v>18287013000</v>
      </c>
      <c r="C178" s="11"/>
      <c r="D178" s="11"/>
      <c r="E178" s="11"/>
      <c r="F178" s="11"/>
      <c r="G178" s="11"/>
      <c r="H178" s="11"/>
      <c r="I178" s="11">
        <v>534668000</v>
      </c>
      <c r="J178" s="11"/>
      <c r="K178" s="11"/>
      <c r="L178" s="11">
        <v>6732030000</v>
      </c>
      <c r="M178" s="11"/>
      <c r="N178" s="11">
        <v>10087120000</v>
      </c>
      <c r="O178" s="11"/>
      <c r="P178" s="10" t="s">
        <v>26</v>
      </c>
      <c r="Q178" s="11"/>
      <c r="R178" s="11">
        <v>0.55160019845777986</v>
      </c>
      <c r="S178" s="11" t="s">
        <v>121</v>
      </c>
      <c r="T178" s="10" t="s">
        <v>141</v>
      </c>
    </row>
    <row r="179" spans="1:20" x14ac:dyDescent="0.35">
      <c r="A179" s="12">
        <v>2020</v>
      </c>
      <c r="B179" s="11">
        <v>16221822000</v>
      </c>
      <c r="C179" s="11"/>
      <c r="D179" s="11"/>
      <c r="E179" s="11"/>
      <c r="F179" s="11"/>
      <c r="G179" s="11"/>
      <c r="H179" s="11"/>
      <c r="I179" s="11">
        <v>1527951000</v>
      </c>
      <c r="J179" s="11"/>
      <c r="K179" s="11"/>
      <c r="L179" s="11">
        <v>6533198000</v>
      </c>
      <c r="M179" s="11"/>
      <c r="N179" s="11">
        <v>8667400000</v>
      </c>
      <c r="O179" s="11"/>
      <c r="P179" s="10" t="s">
        <v>26</v>
      </c>
      <c r="Q179" s="11"/>
      <c r="R179" s="11">
        <v>0.53430496278408179</v>
      </c>
      <c r="S179" s="11" t="s">
        <v>121</v>
      </c>
      <c r="T179" s="10" t="s">
        <v>141</v>
      </c>
    </row>
    <row r="180" spans="1:20" x14ac:dyDescent="0.35">
      <c r="A180" s="12">
        <v>2021</v>
      </c>
      <c r="B180" s="11">
        <v>17266588000</v>
      </c>
      <c r="C180" s="11"/>
      <c r="D180" s="11"/>
      <c r="E180" s="11"/>
      <c r="F180" s="11"/>
      <c r="G180" s="11"/>
      <c r="H180" s="11"/>
      <c r="I180" s="11">
        <v>1589210000</v>
      </c>
      <c r="J180" s="11"/>
      <c r="K180" s="11"/>
      <c r="L180" s="11">
        <v>6236346000</v>
      </c>
      <c r="M180" s="11"/>
      <c r="N180" s="11">
        <v>10062667000</v>
      </c>
      <c r="O180" s="11"/>
      <c r="P180" s="10" t="s">
        <v>26</v>
      </c>
      <c r="Q180" s="11"/>
      <c r="R180" s="11">
        <v>0.5827825972334546</v>
      </c>
      <c r="S180" s="11" t="s">
        <v>121</v>
      </c>
      <c r="T180" s="10" t="s">
        <v>141</v>
      </c>
    </row>
    <row r="181" spans="1:20" x14ac:dyDescent="0.35">
      <c r="A181" s="12">
        <v>2022</v>
      </c>
      <c r="B181" s="11">
        <v>16493375000</v>
      </c>
      <c r="C181" s="11"/>
      <c r="D181" s="11"/>
      <c r="E181" s="11"/>
      <c r="F181" s="11"/>
      <c r="G181" s="11"/>
      <c r="H181" s="11"/>
      <c r="I181" s="11">
        <v>1799995000</v>
      </c>
      <c r="J181" s="11"/>
      <c r="K181" s="11"/>
      <c r="L181" s="11">
        <v>5839728000</v>
      </c>
      <c r="M181" s="11"/>
      <c r="N181" s="11">
        <v>9980263000</v>
      </c>
      <c r="O181" s="11"/>
      <c r="P181" s="10" t="s">
        <v>26</v>
      </c>
      <c r="Q181" s="11"/>
      <c r="R181" s="11">
        <v>0.60510738402540409</v>
      </c>
      <c r="S181" s="11" t="s">
        <v>121</v>
      </c>
      <c r="T181" s="10" t="s">
        <v>141</v>
      </c>
    </row>
    <row r="182" spans="1:20" x14ac:dyDescent="0.35">
      <c r="A182" s="12">
        <v>2023</v>
      </c>
      <c r="B182" s="11">
        <v>16187665000</v>
      </c>
      <c r="C182" s="11"/>
      <c r="D182" s="11"/>
      <c r="E182" s="11"/>
      <c r="F182" s="11"/>
      <c r="G182" s="11"/>
      <c r="H182" s="11"/>
      <c r="I182" s="11">
        <v>1811163000</v>
      </c>
      <c r="J182" s="11"/>
      <c r="K182" s="11"/>
      <c r="L182" s="11">
        <v>5509064000</v>
      </c>
      <c r="M182" s="11"/>
      <c r="N182" s="11">
        <v>9843931000</v>
      </c>
      <c r="O182" s="11"/>
      <c r="P182" s="10" t="s">
        <v>26</v>
      </c>
      <c r="Q182" s="11"/>
      <c r="R182" s="11">
        <v>0.60811309104802946</v>
      </c>
      <c r="S182" s="11" t="s">
        <v>121</v>
      </c>
      <c r="T182" s="10" t="s">
        <v>141</v>
      </c>
    </row>
    <row r="183" spans="1:20" x14ac:dyDescent="0.35">
      <c r="A183" s="12">
        <v>2024</v>
      </c>
      <c r="B183" s="11">
        <v>15998608000</v>
      </c>
      <c r="C183" s="11"/>
      <c r="D183" s="11"/>
      <c r="E183" s="11"/>
      <c r="F183" s="11"/>
      <c r="G183" s="11"/>
      <c r="H183" s="11"/>
      <c r="I183" s="11">
        <v>1787686000</v>
      </c>
      <c r="J183" s="11"/>
      <c r="K183" s="11"/>
      <c r="L183" s="11">
        <v>5158242000</v>
      </c>
      <c r="M183" s="11"/>
      <c r="N183" s="11">
        <v>9826739000</v>
      </c>
      <c r="O183" s="11"/>
      <c r="P183" s="10" t="s">
        <v>26</v>
      </c>
      <c r="Q183" s="11"/>
      <c r="R183" s="11">
        <v>0.61422462504237874</v>
      </c>
      <c r="S183" s="11" t="s">
        <v>121</v>
      </c>
      <c r="T183" s="10" t="s">
        <v>141</v>
      </c>
    </row>
    <row r="184" spans="1:20" x14ac:dyDescent="0.35">
      <c r="A184" s="12">
        <v>2012</v>
      </c>
      <c r="B184" s="11">
        <v>15462321000</v>
      </c>
      <c r="C184" s="11"/>
      <c r="D184" s="11">
        <v>651681000</v>
      </c>
      <c r="E184" s="11"/>
      <c r="F184" s="11">
        <v>413564000</v>
      </c>
      <c r="G184" s="11"/>
      <c r="H184" s="11"/>
      <c r="I184" s="11">
        <v>438722000</v>
      </c>
      <c r="J184" s="11"/>
      <c r="K184" s="11"/>
      <c r="L184" s="11">
        <v>5097065000</v>
      </c>
      <c r="M184" s="11"/>
      <c r="N184" s="11">
        <v>9619033000</v>
      </c>
      <c r="O184" s="11"/>
      <c r="P184" s="10" t="s">
        <v>26</v>
      </c>
      <c r="Q184" s="11"/>
      <c r="R184" s="11">
        <v>0.62209502700144437</v>
      </c>
      <c r="S184" s="11" t="s">
        <v>122</v>
      </c>
      <c r="T184" s="10" t="s">
        <v>141</v>
      </c>
    </row>
    <row r="185" spans="1:20" x14ac:dyDescent="0.35">
      <c r="A185" s="12">
        <v>2013</v>
      </c>
      <c r="B185" s="11">
        <v>20162251000</v>
      </c>
      <c r="C185" s="11"/>
      <c r="D185" s="11">
        <v>678120000</v>
      </c>
      <c r="E185" s="11"/>
      <c r="F185" s="11">
        <v>446880000</v>
      </c>
      <c r="G185" s="11"/>
      <c r="H185" s="11"/>
      <c r="I185" s="11">
        <v>477826000</v>
      </c>
      <c r="J185" s="11"/>
      <c r="K185" s="11"/>
      <c r="L185" s="11">
        <v>5741153000</v>
      </c>
      <c r="M185" s="11"/>
      <c r="N185" s="11">
        <v>12967712000</v>
      </c>
      <c r="O185" s="11"/>
      <c r="P185" s="10" t="s">
        <v>26</v>
      </c>
      <c r="Q185" s="11"/>
      <c r="R185" s="11">
        <v>0.64316786850833274</v>
      </c>
      <c r="S185" s="11" t="s">
        <v>122</v>
      </c>
      <c r="T185" s="10" t="s">
        <v>141</v>
      </c>
    </row>
    <row r="186" spans="1:20" x14ac:dyDescent="0.35">
      <c r="A186" s="12">
        <v>2014</v>
      </c>
      <c r="B186" s="11">
        <v>19886767000</v>
      </c>
      <c r="C186" s="11"/>
      <c r="D186" s="11">
        <v>801822000</v>
      </c>
      <c r="E186" s="11"/>
      <c r="F186" s="11">
        <v>455743000</v>
      </c>
      <c r="G186" s="11"/>
      <c r="H186" s="11"/>
      <c r="I186" s="11">
        <v>574694000</v>
      </c>
      <c r="J186" s="11"/>
      <c r="K186" s="11"/>
      <c r="L186" s="11">
        <v>5697298000</v>
      </c>
      <c r="M186" s="11"/>
      <c r="N186" s="11">
        <v>11878506000</v>
      </c>
      <c r="O186" s="11"/>
      <c r="P186" s="10" t="s">
        <v>26</v>
      </c>
      <c r="Q186" s="11"/>
      <c r="R186" s="11">
        <v>0.59730704342239238</v>
      </c>
      <c r="S186" s="11" t="s">
        <v>122</v>
      </c>
      <c r="T186" s="10" t="s">
        <v>141</v>
      </c>
    </row>
    <row r="187" spans="1:20" x14ac:dyDescent="0.35">
      <c r="A187" s="12">
        <v>2015</v>
      </c>
      <c r="B187" s="11">
        <v>18379456000</v>
      </c>
      <c r="C187" s="11"/>
      <c r="D187" s="11">
        <v>849365000</v>
      </c>
      <c r="E187" s="11"/>
      <c r="F187" s="11">
        <v>432196000</v>
      </c>
      <c r="G187" s="11"/>
      <c r="H187" s="11"/>
      <c r="I187" s="11">
        <v>618476000</v>
      </c>
      <c r="J187" s="11"/>
      <c r="K187" s="11"/>
      <c r="L187" s="11">
        <v>5709435000</v>
      </c>
      <c r="M187" s="11"/>
      <c r="N187" s="11">
        <v>10492529000</v>
      </c>
      <c r="O187" s="11"/>
      <c r="P187" s="10" t="s">
        <v>26</v>
      </c>
      <c r="Q187" s="11"/>
      <c r="R187" s="11">
        <v>0.57088354519306772</v>
      </c>
      <c r="S187" s="11" t="s">
        <v>122</v>
      </c>
      <c r="T187" s="10" t="s">
        <v>141</v>
      </c>
    </row>
    <row r="188" spans="1:20" x14ac:dyDescent="0.35">
      <c r="A188" s="12">
        <v>2016</v>
      </c>
      <c r="B188" s="11">
        <v>18851643000</v>
      </c>
      <c r="C188" s="11"/>
      <c r="D188" s="11">
        <v>825784000</v>
      </c>
      <c r="E188" s="11"/>
      <c r="F188" s="11">
        <v>412849000</v>
      </c>
      <c r="G188" s="11"/>
      <c r="H188" s="11"/>
      <c r="I188" s="11">
        <v>665985000</v>
      </c>
      <c r="J188" s="11"/>
      <c r="K188" s="11"/>
      <c r="L188" s="11">
        <v>5786295000</v>
      </c>
      <c r="M188" s="11"/>
      <c r="N188" s="11">
        <v>10919719000</v>
      </c>
      <c r="O188" s="11"/>
      <c r="P188" s="10" t="s">
        <v>26</v>
      </c>
      <c r="Q188" s="11"/>
      <c r="R188" s="11">
        <v>0.57924494963118067</v>
      </c>
      <c r="S188" s="11" t="s">
        <v>122</v>
      </c>
      <c r="T188" s="10" t="s">
        <v>141</v>
      </c>
    </row>
    <row r="189" spans="1:20" x14ac:dyDescent="0.35">
      <c r="A189" s="12">
        <v>2017</v>
      </c>
      <c r="B189" s="11">
        <v>19372233000</v>
      </c>
      <c r="C189" s="11"/>
      <c r="D189" s="11">
        <v>908110000</v>
      </c>
      <c r="E189" s="11"/>
      <c r="F189" s="11">
        <v>374481000</v>
      </c>
      <c r="G189" s="11"/>
      <c r="H189" s="11"/>
      <c r="I189" s="11">
        <v>632228000</v>
      </c>
      <c r="J189" s="11"/>
      <c r="K189" s="11"/>
      <c r="L189" s="11">
        <v>5813957000</v>
      </c>
      <c r="M189" s="11"/>
      <c r="N189" s="11">
        <v>11269777000</v>
      </c>
      <c r="O189" s="11"/>
      <c r="P189" s="10" t="s">
        <v>26</v>
      </c>
      <c r="Q189" s="11"/>
      <c r="R189" s="11">
        <v>0.58174899093976418</v>
      </c>
      <c r="S189" s="11" t="s">
        <v>122</v>
      </c>
      <c r="T189" s="10" t="s">
        <v>141</v>
      </c>
    </row>
    <row r="190" spans="1:20" x14ac:dyDescent="0.35">
      <c r="A190" s="12">
        <v>2018</v>
      </c>
      <c r="B190" s="11">
        <v>20256477000</v>
      </c>
      <c r="C190" s="11"/>
      <c r="D190" s="11"/>
      <c r="E190" s="11"/>
      <c r="F190" s="11">
        <v>378168000</v>
      </c>
      <c r="G190" s="11"/>
      <c r="H190" s="11"/>
      <c r="I190" s="11">
        <v>661151000</v>
      </c>
      <c r="J190" s="11"/>
      <c r="K190" s="11"/>
      <c r="L190" s="11">
        <v>5883171000</v>
      </c>
      <c r="M190" s="11"/>
      <c r="N190" s="11">
        <v>12042509000</v>
      </c>
      <c r="O190" s="11"/>
      <c r="P190" s="10" t="s">
        <v>26</v>
      </c>
      <c r="Q190" s="11"/>
      <c r="R190" s="11">
        <v>0.59450165001544941</v>
      </c>
      <c r="S190" s="11" t="s">
        <v>122</v>
      </c>
      <c r="T190" s="10" t="s">
        <v>141</v>
      </c>
    </row>
    <row r="191" spans="1:20" x14ac:dyDescent="0.35">
      <c r="A191" s="12">
        <v>2019</v>
      </c>
      <c r="B191" s="11">
        <v>21284905000</v>
      </c>
      <c r="C191" s="11"/>
      <c r="D191" s="11"/>
      <c r="E191" s="11"/>
      <c r="F191" s="11">
        <v>412717000</v>
      </c>
      <c r="G191" s="11"/>
      <c r="H191" s="11"/>
      <c r="I191" s="11">
        <v>725767000</v>
      </c>
      <c r="J191" s="11"/>
      <c r="K191" s="11"/>
      <c r="L191" s="11">
        <v>5684687000</v>
      </c>
      <c r="M191" s="11"/>
      <c r="N191" s="11">
        <v>13262304000</v>
      </c>
      <c r="O191" s="11"/>
      <c r="P191" s="10" t="s">
        <v>26</v>
      </c>
      <c r="Q191" s="11"/>
      <c r="R191" s="11">
        <v>0.62308495151845877</v>
      </c>
      <c r="S191" s="11" t="s">
        <v>122</v>
      </c>
      <c r="T191" s="10" t="s">
        <v>141</v>
      </c>
    </row>
    <row r="192" spans="1:20" x14ac:dyDescent="0.35">
      <c r="A192" s="12">
        <v>2020</v>
      </c>
      <c r="B192" s="11">
        <v>22858190000</v>
      </c>
      <c r="C192" s="11"/>
      <c r="D192" s="11"/>
      <c r="E192" s="11"/>
      <c r="F192" s="11">
        <v>431717000</v>
      </c>
      <c r="G192" s="11"/>
      <c r="H192" s="11"/>
      <c r="I192" s="11">
        <v>2765686000</v>
      </c>
      <c r="J192" s="11"/>
      <c r="K192" s="11"/>
      <c r="L192" s="11">
        <v>5996083000</v>
      </c>
      <c r="M192" s="11"/>
      <c r="N192" s="11">
        <v>14511681000</v>
      </c>
      <c r="O192" s="11"/>
      <c r="P192" s="10" t="s">
        <v>26</v>
      </c>
      <c r="Q192" s="11"/>
      <c r="R192" s="11">
        <v>0.63485695936554909</v>
      </c>
      <c r="S192" s="11" t="s">
        <v>122</v>
      </c>
      <c r="T192" s="10" t="s">
        <v>141</v>
      </c>
    </row>
    <row r="193" spans="1:20" x14ac:dyDescent="0.35">
      <c r="A193" s="12">
        <v>2021</v>
      </c>
      <c r="B193" s="11">
        <v>22365258000</v>
      </c>
      <c r="C193" s="11"/>
      <c r="D193" s="11"/>
      <c r="E193" s="11"/>
      <c r="F193" s="11">
        <v>423346000</v>
      </c>
      <c r="G193" s="11"/>
      <c r="H193" s="11"/>
      <c r="I193" s="11">
        <v>2888621000</v>
      </c>
      <c r="J193" s="11"/>
      <c r="K193" s="11"/>
      <c r="L193" s="11">
        <v>5834020000</v>
      </c>
      <c r="M193" s="11"/>
      <c r="N193" s="11">
        <v>14322462000</v>
      </c>
      <c r="O193" s="11"/>
      <c r="P193" s="10" t="s">
        <v>26</v>
      </c>
      <c r="Q193" s="11"/>
      <c r="R193" s="11">
        <v>0.64038885668119727</v>
      </c>
      <c r="S193" s="11" t="s">
        <v>122</v>
      </c>
      <c r="T193" s="10" t="s">
        <v>141</v>
      </c>
    </row>
    <row r="194" spans="1:20" x14ac:dyDescent="0.35">
      <c r="A194" s="12">
        <v>2022</v>
      </c>
      <c r="B194" s="11">
        <v>24207669000</v>
      </c>
      <c r="C194" s="11"/>
      <c r="D194" s="11"/>
      <c r="E194" s="11"/>
      <c r="F194" s="11">
        <v>437139000</v>
      </c>
      <c r="G194" s="11"/>
      <c r="H194" s="11"/>
      <c r="I194" s="11">
        <v>3108581000</v>
      </c>
      <c r="J194" s="11"/>
      <c r="K194" s="11"/>
      <c r="L194" s="11">
        <v>6132919000</v>
      </c>
      <c r="M194" s="11"/>
      <c r="N194" s="11">
        <v>15837237000</v>
      </c>
      <c r="O194" s="11"/>
      <c r="P194" s="10" t="s">
        <v>26</v>
      </c>
      <c r="Q194" s="11"/>
      <c r="R194" s="11">
        <v>0.65422395687911961</v>
      </c>
      <c r="S194" s="11" t="s">
        <v>122</v>
      </c>
      <c r="T194" s="10" t="s">
        <v>141</v>
      </c>
    </row>
    <row r="195" spans="1:20" x14ac:dyDescent="0.35">
      <c r="A195" s="12">
        <v>2023</v>
      </c>
      <c r="B195" s="11">
        <v>26026149000</v>
      </c>
      <c r="C195" s="11"/>
      <c r="D195" s="11"/>
      <c r="E195" s="11"/>
      <c r="F195" s="11">
        <v>579572000</v>
      </c>
      <c r="G195" s="11"/>
      <c r="H195" s="11"/>
      <c r="I195" s="11">
        <v>3273569000</v>
      </c>
      <c r="J195" s="11"/>
      <c r="K195" s="11"/>
      <c r="L195" s="11">
        <v>5876697000</v>
      </c>
      <c r="M195" s="11"/>
      <c r="N195" s="11">
        <v>17833785000</v>
      </c>
      <c r="O195" s="11"/>
      <c r="P195" s="10" t="s">
        <v>26</v>
      </c>
      <c r="Q195" s="11"/>
      <c r="R195" s="11">
        <v>0.68522565516703993</v>
      </c>
      <c r="S195" s="11" t="s">
        <v>122</v>
      </c>
      <c r="T195" s="10" t="s">
        <v>141</v>
      </c>
    </row>
    <row r="196" spans="1:20" x14ac:dyDescent="0.35">
      <c r="A196" s="12">
        <v>2024</v>
      </c>
      <c r="B196" s="11">
        <v>26084980000</v>
      </c>
      <c r="C196" s="11"/>
      <c r="D196" s="11"/>
      <c r="E196" s="11"/>
      <c r="F196" s="11">
        <v>645117000</v>
      </c>
      <c r="G196" s="11"/>
      <c r="H196" s="11"/>
      <c r="I196" s="11">
        <v>3407719000</v>
      </c>
      <c r="J196" s="11"/>
      <c r="K196" s="11"/>
      <c r="L196" s="11">
        <v>5413306000</v>
      </c>
      <c r="M196" s="11"/>
      <c r="N196" s="11">
        <v>18137324000</v>
      </c>
      <c r="O196" s="11"/>
      <c r="P196" s="10" t="s">
        <v>26</v>
      </c>
      <c r="Q196" s="11"/>
      <c r="R196" s="11">
        <v>0.6953167685004934</v>
      </c>
      <c r="S196" s="11" t="s">
        <v>122</v>
      </c>
      <c r="T196" s="10" t="s">
        <v>141</v>
      </c>
    </row>
    <row r="197" spans="1:20" x14ac:dyDescent="0.35">
      <c r="A197" s="12">
        <v>2012</v>
      </c>
      <c r="B197" s="11">
        <v>7150116000</v>
      </c>
      <c r="C197" s="11"/>
      <c r="D197" s="11"/>
      <c r="E197" s="11"/>
      <c r="F197" s="11">
        <v>69184000</v>
      </c>
      <c r="G197" s="11"/>
      <c r="H197" s="11"/>
      <c r="I197" s="11"/>
      <c r="J197" s="11"/>
      <c r="K197" s="11"/>
      <c r="L197" s="11">
        <v>3441851000</v>
      </c>
      <c r="M197" s="11"/>
      <c r="N197" s="11">
        <v>3647058000</v>
      </c>
      <c r="O197" s="11"/>
      <c r="P197" s="10" t="s">
        <v>26</v>
      </c>
      <c r="Q197" s="11"/>
      <c r="R197" s="11">
        <v>0.51006976670028847</v>
      </c>
      <c r="S197" s="11" t="s">
        <v>123</v>
      </c>
      <c r="T197" s="10" t="s">
        <v>141</v>
      </c>
    </row>
    <row r="198" spans="1:20" x14ac:dyDescent="0.35">
      <c r="A198" s="12">
        <v>2013</v>
      </c>
      <c r="B198" s="11">
        <v>7529764000</v>
      </c>
      <c r="C198" s="11"/>
      <c r="D198" s="11"/>
      <c r="E198" s="11"/>
      <c r="F198" s="11">
        <v>67952000</v>
      </c>
      <c r="G198" s="11"/>
      <c r="H198" s="11"/>
      <c r="I198" s="11"/>
      <c r="J198" s="11"/>
      <c r="K198" s="11"/>
      <c r="L198" s="11">
        <v>3916789000</v>
      </c>
      <c r="M198" s="11"/>
      <c r="N198" s="11">
        <v>3550823000</v>
      </c>
      <c r="O198" s="11"/>
      <c r="P198" s="10" t="s">
        <v>26</v>
      </c>
      <c r="Q198" s="11"/>
      <c r="R198" s="11">
        <v>0.47157161897769972</v>
      </c>
      <c r="S198" s="11" t="s">
        <v>123</v>
      </c>
      <c r="T198" s="10" t="s">
        <v>141</v>
      </c>
    </row>
    <row r="199" spans="1:20" x14ac:dyDescent="0.35">
      <c r="A199" s="12">
        <v>2014</v>
      </c>
      <c r="B199" s="11">
        <v>8136036000</v>
      </c>
      <c r="C199" s="11"/>
      <c r="D199" s="11"/>
      <c r="E199" s="11"/>
      <c r="F199" s="11">
        <v>79299000</v>
      </c>
      <c r="G199" s="11"/>
      <c r="H199" s="11"/>
      <c r="I199" s="11"/>
      <c r="J199" s="11"/>
      <c r="K199" s="11"/>
      <c r="L199" s="11">
        <v>3828439000</v>
      </c>
      <c r="M199" s="11"/>
      <c r="N199" s="11">
        <v>4226478000</v>
      </c>
      <c r="O199" s="11"/>
      <c r="P199" s="10" t="s">
        <v>26</v>
      </c>
      <c r="Q199" s="11"/>
      <c r="R199" s="11">
        <v>0.519476315001556</v>
      </c>
      <c r="S199" s="11" t="s">
        <v>123</v>
      </c>
      <c r="T199" s="10" t="s">
        <v>141</v>
      </c>
    </row>
    <row r="200" spans="1:20" x14ac:dyDescent="0.35">
      <c r="A200" s="12">
        <v>2015</v>
      </c>
      <c r="B200" s="11">
        <v>8911120000</v>
      </c>
      <c r="C200" s="11"/>
      <c r="D200" s="11"/>
      <c r="E200" s="11"/>
      <c r="F200" s="11">
        <v>105813000</v>
      </c>
      <c r="G200" s="11"/>
      <c r="H200" s="11"/>
      <c r="I200" s="11"/>
      <c r="J200" s="11"/>
      <c r="K200" s="11"/>
      <c r="L200" s="11">
        <v>3975087000</v>
      </c>
      <c r="M200" s="11"/>
      <c r="N200" s="11">
        <v>4617156000</v>
      </c>
      <c r="O200" s="11"/>
      <c r="P200" s="10" t="s">
        <v>26</v>
      </c>
      <c r="Q200" s="11"/>
      <c r="R200" s="11">
        <v>0.51813419637486646</v>
      </c>
      <c r="S200" s="11" t="s">
        <v>123</v>
      </c>
      <c r="T200" s="10" t="s">
        <v>141</v>
      </c>
    </row>
    <row r="201" spans="1:20" x14ac:dyDescent="0.35">
      <c r="A201" s="12">
        <v>2016</v>
      </c>
      <c r="B201" s="11">
        <v>10354888000</v>
      </c>
      <c r="C201" s="11"/>
      <c r="D201" s="11"/>
      <c r="E201" s="11"/>
      <c r="F201" s="11">
        <v>106953000</v>
      </c>
      <c r="G201" s="11"/>
      <c r="H201" s="11"/>
      <c r="I201" s="11"/>
      <c r="J201" s="11"/>
      <c r="K201" s="11"/>
      <c r="L201" s="11">
        <v>4895796000</v>
      </c>
      <c r="M201" s="11"/>
      <c r="N201" s="11">
        <v>4972610000</v>
      </c>
      <c r="O201" s="11"/>
      <c r="P201" s="10" t="s">
        <v>26</v>
      </c>
      <c r="Q201" s="11"/>
      <c r="R201" s="11">
        <v>0.48021861752633149</v>
      </c>
      <c r="S201" s="11" t="s">
        <v>123</v>
      </c>
      <c r="T201" s="10" t="s">
        <v>141</v>
      </c>
    </row>
    <row r="202" spans="1:20" x14ac:dyDescent="0.35">
      <c r="A202" s="12">
        <v>2017</v>
      </c>
      <c r="B202" s="11">
        <v>12103953000</v>
      </c>
      <c r="C202" s="11"/>
      <c r="D202" s="11"/>
      <c r="E202" s="11"/>
      <c r="F202" s="11">
        <v>128645000</v>
      </c>
      <c r="G202" s="11"/>
      <c r="H202" s="11"/>
      <c r="I202" s="11"/>
      <c r="J202" s="11"/>
      <c r="K202" s="11"/>
      <c r="L202" s="11">
        <v>5949666000</v>
      </c>
      <c r="M202" s="11"/>
      <c r="N202" s="11">
        <v>5620784000</v>
      </c>
      <c r="O202" s="11"/>
      <c r="P202" s="10" t="s">
        <v>26</v>
      </c>
      <c r="Q202" s="11"/>
      <c r="R202" s="11">
        <v>0.46437589438756077</v>
      </c>
      <c r="S202" s="11" t="s">
        <v>123</v>
      </c>
      <c r="T202" s="10" t="s">
        <v>141</v>
      </c>
    </row>
    <row r="203" spans="1:20" x14ac:dyDescent="0.35">
      <c r="A203" s="12">
        <v>2018</v>
      </c>
      <c r="B203" s="11">
        <v>14464956000</v>
      </c>
      <c r="C203" s="11"/>
      <c r="D203" s="11"/>
      <c r="E203" s="11"/>
      <c r="F203" s="11">
        <v>157495000</v>
      </c>
      <c r="G203" s="11"/>
      <c r="H203" s="11"/>
      <c r="I203" s="11"/>
      <c r="J203" s="11"/>
      <c r="K203" s="11"/>
      <c r="L203" s="11">
        <v>7341965000</v>
      </c>
      <c r="M203" s="11"/>
      <c r="N203" s="11">
        <v>6570242000</v>
      </c>
      <c r="O203" s="11"/>
      <c r="P203" s="10" t="s">
        <v>26</v>
      </c>
      <c r="Q203" s="11"/>
      <c r="R203" s="11">
        <v>0.45421790429227721</v>
      </c>
      <c r="S203" s="11" t="s">
        <v>123</v>
      </c>
      <c r="T203" s="10" t="s">
        <v>141</v>
      </c>
    </row>
    <row r="204" spans="1:20" x14ac:dyDescent="0.35">
      <c r="A204" s="12">
        <v>2019</v>
      </c>
      <c r="B204" s="11">
        <v>18390503000</v>
      </c>
      <c r="C204" s="11"/>
      <c r="D204" s="11"/>
      <c r="E204" s="11"/>
      <c r="F204" s="11">
        <v>173675000</v>
      </c>
      <c r="G204" s="11"/>
      <c r="H204" s="11"/>
      <c r="I204" s="11"/>
      <c r="J204" s="11"/>
      <c r="K204" s="11"/>
      <c r="L204" s="11">
        <v>8865826000</v>
      </c>
      <c r="M204" s="11"/>
      <c r="N204" s="11">
        <v>8224025000</v>
      </c>
      <c r="O204" s="11"/>
      <c r="P204" s="10" t="s">
        <v>26</v>
      </c>
      <c r="Q204" s="11"/>
      <c r="R204" s="11">
        <v>0.44718869299007208</v>
      </c>
      <c r="S204" s="11" t="s">
        <v>123</v>
      </c>
      <c r="T204" s="10" t="s">
        <v>141</v>
      </c>
    </row>
    <row r="205" spans="1:20" x14ac:dyDescent="0.35">
      <c r="A205" s="12">
        <v>2020</v>
      </c>
      <c r="B205" s="11">
        <v>22827878000</v>
      </c>
      <c r="C205" s="11"/>
      <c r="D205" s="11"/>
      <c r="E205" s="11"/>
      <c r="F205" s="11">
        <v>171609000</v>
      </c>
      <c r="G205" s="11"/>
      <c r="H205" s="11"/>
      <c r="I205" s="11"/>
      <c r="J205" s="11"/>
      <c r="K205" s="11"/>
      <c r="L205" s="11">
        <v>11725712000</v>
      </c>
      <c r="M205" s="11"/>
      <c r="N205" s="11">
        <v>9384100000</v>
      </c>
      <c r="O205" s="11"/>
      <c r="P205" s="10" t="s">
        <v>26</v>
      </c>
      <c r="Q205" s="11"/>
      <c r="R205" s="11">
        <v>0.41108069703193612</v>
      </c>
      <c r="S205" s="11" t="s">
        <v>123</v>
      </c>
      <c r="T205" s="10" t="s">
        <v>141</v>
      </c>
    </row>
    <row r="206" spans="1:20" x14ac:dyDescent="0.35">
      <c r="A206" s="12">
        <v>2021</v>
      </c>
      <c r="B206" s="11">
        <v>30219373000</v>
      </c>
      <c r="C206" s="11"/>
      <c r="D206" s="11"/>
      <c r="E206" s="11"/>
      <c r="F206" s="11">
        <v>142165000</v>
      </c>
      <c r="G206" s="11"/>
      <c r="H206" s="11"/>
      <c r="I206" s="11"/>
      <c r="J206" s="11"/>
      <c r="K206" s="11"/>
      <c r="L206" s="11">
        <v>16189542000</v>
      </c>
      <c r="M206" s="11"/>
      <c r="N206" s="11">
        <v>11186123000</v>
      </c>
      <c r="O206" s="11"/>
      <c r="P206" s="10" t="s">
        <v>26</v>
      </c>
      <c r="Q206" s="11"/>
      <c r="R206" s="11">
        <v>0.37016396733314089</v>
      </c>
      <c r="S206" s="11" t="s">
        <v>123</v>
      </c>
      <c r="T206" s="10" t="s">
        <v>141</v>
      </c>
    </row>
    <row r="207" spans="1:20" x14ac:dyDescent="0.35">
      <c r="A207" s="12">
        <v>2022</v>
      </c>
      <c r="B207" s="11">
        <v>35523399000</v>
      </c>
      <c r="C207" s="11"/>
      <c r="D207" s="11"/>
      <c r="E207" s="11"/>
      <c r="F207" s="11">
        <v>94203000</v>
      </c>
      <c r="G207" s="11"/>
      <c r="H207" s="11"/>
      <c r="I207" s="11"/>
      <c r="J207" s="11"/>
      <c r="K207" s="11"/>
      <c r="L207" s="11">
        <v>18972387000</v>
      </c>
      <c r="M207" s="11"/>
      <c r="N207" s="11">
        <v>12840152000</v>
      </c>
      <c r="O207" s="11"/>
      <c r="P207" s="10" t="s">
        <v>26</v>
      </c>
      <c r="Q207" s="11"/>
      <c r="R207" s="11">
        <v>0.36145617709611633</v>
      </c>
      <c r="S207" s="11" t="s">
        <v>123</v>
      </c>
      <c r="T207" s="10" t="s">
        <v>141</v>
      </c>
    </row>
    <row r="208" spans="1:20" x14ac:dyDescent="0.35">
      <c r="A208" s="12">
        <v>2023</v>
      </c>
      <c r="B208" s="11">
        <v>36771402000</v>
      </c>
      <c r="C208" s="11"/>
      <c r="D208" s="11"/>
      <c r="E208" s="11"/>
      <c r="F208" s="11">
        <v>74204000</v>
      </c>
      <c r="G208" s="11"/>
      <c r="H208" s="11"/>
      <c r="I208" s="11"/>
      <c r="J208" s="11"/>
      <c r="K208" s="11"/>
      <c r="L208" s="11">
        <v>18471175000</v>
      </c>
      <c r="M208" s="11"/>
      <c r="N208" s="11">
        <v>14148409000</v>
      </c>
      <c r="O208" s="11"/>
      <c r="P208" s="10" t="s">
        <v>26</v>
      </c>
      <c r="Q208" s="11"/>
      <c r="R208" s="11">
        <v>0.38476664555787132</v>
      </c>
      <c r="S208" s="11" t="s">
        <v>123</v>
      </c>
      <c r="T208" s="10" t="s">
        <v>141</v>
      </c>
    </row>
    <row r="209" spans="1:20" x14ac:dyDescent="0.35">
      <c r="A209" s="12">
        <v>2024</v>
      </c>
      <c r="B209" s="11">
        <v>37527449000</v>
      </c>
      <c r="C209" s="11"/>
      <c r="D209" s="11"/>
      <c r="E209" s="11"/>
      <c r="F209" s="11">
        <v>185838000</v>
      </c>
      <c r="G209" s="11"/>
      <c r="H209" s="11"/>
      <c r="I209" s="11"/>
      <c r="J209" s="11"/>
      <c r="K209" s="11"/>
      <c r="L209" s="11">
        <v>17889042000</v>
      </c>
      <c r="M209" s="11"/>
      <c r="N209" s="11">
        <v>15128988000</v>
      </c>
      <c r="O209" s="11"/>
      <c r="P209" s="10" t="s">
        <v>26</v>
      </c>
      <c r="Q209" s="11"/>
      <c r="R209" s="11">
        <v>0.40314458891143917</v>
      </c>
      <c r="S209" s="11" t="s">
        <v>123</v>
      </c>
      <c r="T209" s="10" t="s">
        <v>141</v>
      </c>
    </row>
    <row r="210" spans="1:20" x14ac:dyDescent="0.35">
      <c r="A210" s="12">
        <v>2012</v>
      </c>
      <c r="B210" s="11"/>
      <c r="C210" s="11"/>
      <c r="D210" s="11"/>
      <c r="E210" s="11"/>
      <c r="F210" s="11"/>
      <c r="G210" s="11"/>
      <c r="H210" s="11"/>
      <c r="I210" s="11">
        <v>126243000</v>
      </c>
      <c r="J210" s="11"/>
      <c r="K210" s="11"/>
      <c r="L210" s="11"/>
      <c r="M210" s="11"/>
      <c r="N210" s="11"/>
      <c r="O210" s="11"/>
      <c r="P210" s="10" t="s">
        <v>26</v>
      </c>
      <c r="Q210" s="11"/>
      <c r="R210" s="11"/>
      <c r="S210" s="11" t="s">
        <v>124</v>
      </c>
      <c r="T210" s="10" t="s">
        <v>141</v>
      </c>
    </row>
    <row r="211" spans="1:20" x14ac:dyDescent="0.35">
      <c r="A211" s="12">
        <v>2013</v>
      </c>
      <c r="B211" s="11"/>
      <c r="C211" s="11"/>
      <c r="D211" s="11"/>
      <c r="E211" s="11"/>
      <c r="F211" s="11"/>
      <c r="G211" s="11"/>
      <c r="H211" s="11"/>
      <c r="I211" s="11">
        <v>120378000</v>
      </c>
      <c r="J211" s="11"/>
      <c r="K211" s="11"/>
      <c r="L211" s="11"/>
      <c r="M211" s="11"/>
      <c r="N211" s="11"/>
      <c r="O211" s="11"/>
      <c r="P211" s="10" t="s">
        <v>26</v>
      </c>
      <c r="Q211" s="11"/>
      <c r="R211" s="11"/>
      <c r="S211" s="11" t="s">
        <v>124</v>
      </c>
      <c r="T211" s="10" t="s">
        <v>141</v>
      </c>
    </row>
    <row r="212" spans="1:20" x14ac:dyDescent="0.35">
      <c r="A212" s="12">
        <v>2014</v>
      </c>
      <c r="B212" s="11"/>
      <c r="C212" s="11"/>
      <c r="D212" s="11"/>
      <c r="E212" s="11"/>
      <c r="F212" s="11"/>
      <c r="G212" s="11"/>
      <c r="H212" s="11"/>
      <c r="I212" s="11">
        <v>133280000</v>
      </c>
      <c r="J212" s="11"/>
      <c r="K212" s="11"/>
      <c r="L212" s="11"/>
      <c r="M212" s="11"/>
      <c r="N212" s="11"/>
      <c r="O212" s="11"/>
      <c r="P212" s="10" t="s">
        <v>26</v>
      </c>
      <c r="Q212" s="11"/>
      <c r="R212" s="11"/>
      <c r="S212" s="11" t="s">
        <v>124</v>
      </c>
      <c r="T212" s="10" t="s">
        <v>141</v>
      </c>
    </row>
    <row r="213" spans="1:20" x14ac:dyDescent="0.35">
      <c r="A213" s="12">
        <v>2015</v>
      </c>
      <c r="B213" s="11"/>
      <c r="C213" s="11"/>
      <c r="D213" s="11"/>
      <c r="E213" s="11"/>
      <c r="F213" s="11"/>
      <c r="G213" s="11"/>
      <c r="H213" s="11"/>
      <c r="I213" s="11">
        <v>140399000</v>
      </c>
      <c r="J213" s="11"/>
      <c r="K213" s="11"/>
      <c r="L213" s="11"/>
      <c r="M213" s="11"/>
      <c r="N213" s="11"/>
      <c r="O213" s="11"/>
      <c r="P213" s="10" t="s">
        <v>26</v>
      </c>
      <c r="Q213" s="11"/>
      <c r="R213" s="11"/>
      <c r="S213" s="11" t="s">
        <v>124</v>
      </c>
      <c r="T213" s="10" t="s">
        <v>141</v>
      </c>
    </row>
    <row r="214" spans="1:20" x14ac:dyDescent="0.35">
      <c r="A214" s="12">
        <v>2016</v>
      </c>
      <c r="B214" s="11"/>
      <c r="C214" s="11"/>
      <c r="D214" s="11"/>
      <c r="E214" s="11"/>
      <c r="F214" s="11"/>
      <c r="G214" s="11"/>
      <c r="H214" s="11"/>
      <c r="I214" s="11">
        <v>149628000</v>
      </c>
      <c r="J214" s="11"/>
      <c r="K214" s="11"/>
      <c r="L214" s="11"/>
      <c r="M214" s="11"/>
      <c r="N214" s="11"/>
      <c r="O214" s="11"/>
      <c r="P214" s="10" t="s">
        <v>26</v>
      </c>
      <c r="Q214" s="11"/>
      <c r="R214" s="11"/>
      <c r="S214" s="11" t="s">
        <v>124</v>
      </c>
      <c r="T214" s="10" t="s">
        <v>141</v>
      </c>
    </row>
    <row r="215" spans="1:20" x14ac:dyDescent="0.35">
      <c r="A215" s="12">
        <v>2017</v>
      </c>
      <c r="B215" s="11"/>
      <c r="C215" s="11"/>
      <c r="D215" s="11"/>
      <c r="E215" s="11">
        <v>633260000</v>
      </c>
      <c r="F215" s="11">
        <v>132629000</v>
      </c>
      <c r="G215" s="11"/>
      <c r="H215" s="11"/>
      <c r="I215" s="11">
        <v>196131000</v>
      </c>
      <c r="J215" s="11"/>
      <c r="K215" s="11"/>
      <c r="L215" s="11"/>
      <c r="M215" s="11"/>
      <c r="N215" s="11"/>
      <c r="O215" s="11"/>
      <c r="P215" s="10" t="s">
        <v>26</v>
      </c>
      <c r="Q215" s="11"/>
      <c r="R215" s="11"/>
      <c r="S215" s="11" t="s">
        <v>124</v>
      </c>
      <c r="T215" s="10" t="s">
        <v>141</v>
      </c>
    </row>
    <row r="216" spans="1:20" x14ac:dyDescent="0.35">
      <c r="A216" s="12">
        <v>2018</v>
      </c>
      <c r="B216" s="11">
        <v>10944663000</v>
      </c>
      <c r="C216" s="11"/>
      <c r="D216" s="11"/>
      <c r="E216" s="11">
        <v>561326000</v>
      </c>
      <c r="F216" s="11">
        <v>148456000</v>
      </c>
      <c r="G216" s="11"/>
      <c r="H216" s="11"/>
      <c r="I216" s="11">
        <v>276693000</v>
      </c>
      <c r="J216" s="11"/>
      <c r="K216" s="11"/>
      <c r="L216" s="11">
        <v>6397970000</v>
      </c>
      <c r="M216" s="11"/>
      <c r="N216" s="11">
        <v>4494495000</v>
      </c>
      <c r="O216" s="11"/>
      <c r="P216" s="10" t="s">
        <v>26</v>
      </c>
      <c r="Q216" s="11"/>
      <c r="R216" s="11">
        <v>0.41065631714745349</v>
      </c>
      <c r="S216" s="11" t="s">
        <v>124</v>
      </c>
      <c r="T216" s="10" t="s">
        <v>141</v>
      </c>
    </row>
    <row r="217" spans="1:20" x14ac:dyDescent="0.35">
      <c r="A217" s="12">
        <v>2019</v>
      </c>
      <c r="B217" s="11">
        <v>11132253000</v>
      </c>
      <c r="C217" s="11"/>
      <c r="D217" s="11"/>
      <c r="E217" s="11">
        <v>617238000</v>
      </c>
      <c r="F217" s="11">
        <v>151264000</v>
      </c>
      <c r="G217" s="11"/>
      <c r="H217" s="11"/>
      <c r="I217" s="11">
        <v>286257000</v>
      </c>
      <c r="J217" s="11"/>
      <c r="K217" s="11"/>
      <c r="L217" s="11">
        <v>6213348000</v>
      </c>
      <c r="M217" s="11"/>
      <c r="N217" s="11">
        <v>4842292000</v>
      </c>
      <c r="O217" s="11"/>
      <c r="P217" s="10" t="s">
        <v>26</v>
      </c>
      <c r="Q217" s="11"/>
      <c r="R217" s="11">
        <v>0.43497861573932972</v>
      </c>
      <c r="S217" s="11" t="s">
        <v>124</v>
      </c>
      <c r="T217" s="10" t="s">
        <v>141</v>
      </c>
    </row>
    <row r="218" spans="1:20" x14ac:dyDescent="0.35">
      <c r="A218" s="12">
        <v>2020</v>
      </c>
      <c r="B218" s="11">
        <v>10936904000</v>
      </c>
      <c r="C218" s="11"/>
      <c r="D218" s="11"/>
      <c r="E218" s="11">
        <v>478512000</v>
      </c>
      <c r="F218" s="11">
        <v>156678000</v>
      </c>
      <c r="G218" s="11"/>
      <c r="H218" s="11"/>
      <c r="I218" s="11">
        <v>283658000</v>
      </c>
      <c r="J218" s="11"/>
      <c r="K218" s="11"/>
      <c r="L218" s="11">
        <v>5984912000</v>
      </c>
      <c r="M218" s="11"/>
      <c r="N218" s="11">
        <v>4878757000</v>
      </c>
      <c r="O218" s="11"/>
      <c r="P218" s="10" t="s">
        <v>26</v>
      </c>
      <c r="Q218" s="11"/>
      <c r="R218" s="11">
        <v>0.44608209050751468</v>
      </c>
      <c r="S218" s="11" t="s">
        <v>124</v>
      </c>
      <c r="T218" s="10" t="s">
        <v>141</v>
      </c>
    </row>
    <row r="219" spans="1:20" x14ac:dyDescent="0.35">
      <c r="A219" s="12">
        <v>2021</v>
      </c>
      <c r="B219" s="11">
        <v>10792563000</v>
      </c>
      <c r="C219" s="11"/>
      <c r="D219" s="11"/>
      <c r="E219" s="11">
        <v>810953000</v>
      </c>
      <c r="F219" s="11">
        <v>145170000</v>
      </c>
      <c r="G219" s="11"/>
      <c r="H219" s="11"/>
      <c r="I219" s="11">
        <v>1166161000</v>
      </c>
      <c r="J219" s="11"/>
      <c r="K219" s="11"/>
      <c r="L219" s="11">
        <v>6037371000</v>
      </c>
      <c r="M219" s="11"/>
      <c r="N219" s="11">
        <v>4682631000</v>
      </c>
      <c r="O219" s="11"/>
      <c r="P219" s="10" t="s">
        <v>26</v>
      </c>
      <c r="Q219" s="11"/>
      <c r="R219" s="11">
        <v>0.43387571608338082</v>
      </c>
      <c r="S219" s="11" t="s">
        <v>124</v>
      </c>
      <c r="T219" s="10" t="s">
        <v>141</v>
      </c>
    </row>
    <row r="220" spans="1:20" x14ac:dyDescent="0.35">
      <c r="A220" s="12">
        <v>2022</v>
      </c>
      <c r="B220" s="11">
        <v>10860220000</v>
      </c>
      <c r="C220" s="11"/>
      <c r="D220" s="11">
        <v>896786000</v>
      </c>
      <c r="E220" s="11">
        <v>948709000</v>
      </c>
      <c r="F220" s="11">
        <v>146186000</v>
      </c>
      <c r="G220" s="11"/>
      <c r="H220" s="11"/>
      <c r="I220" s="11">
        <v>1224022000</v>
      </c>
      <c r="J220" s="11"/>
      <c r="K220" s="11"/>
      <c r="L220" s="11">
        <v>6096985000</v>
      </c>
      <c r="M220" s="11"/>
      <c r="N220" s="11">
        <v>4682181000</v>
      </c>
      <c r="O220" s="11"/>
      <c r="P220" s="10" t="s">
        <v>26</v>
      </c>
      <c r="Q220" s="11"/>
      <c r="R220" s="11">
        <v>0.43113132146494271</v>
      </c>
      <c r="S220" s="11" t="s">
        <v>124</v>
      </c>
      <c r="T220" s="10" t="s">
        <v>141</v>
      </c>
    </row>
    <row r="221" spans="1:20" x14ac:dyDescent="0.35">
      <c r="A221" s="12">
        <v>2023</v>
      </c>
      <c r="B221" s="11">
        <v>12426913000</v>
      </c>
      <c r="C221" s="11"/>
      <c r="D221" s="11">
        <v>951288000</v>
      </c>
      <c r="E221" s="11">
        <v>871983000</v>
      </c>
      <c r="F221" s="11">
        <v>154249000</v>
      </c>
      <c r="G221" s="11"/>
      <c r="H221" s="11"/>
      <c r="I221" s="11">
        <v>1322466000</v>
      </c>
      <c r="J221" s="11"/>
      <c r="K221" s="11"/>
      <c r="L221" s="11">
        <v>7032687000</v>
      </c>
      <c r="M221" s="11"/>
      <c r="N221" s="11">
        <v>5234978000</v>
      </c>
      <c r="O221" s="11"/>
      <c r="P221" s="10" t="s">
        <v>26</v>
      </c>
      <c r="Q221" s="11"/>
      <c r="R221" s="11">
        <v>0.42126133819396661</v>
      </c>
      <c r="S221" s="11" t="s">
        <v>124</v>
      </c>
      <c r="T221" s="10" t="s">
        <v>141</v>
      </c>
    </row>
    <row r="222" spans="1:20" x14ac:dyDescent="0.35">
      <c r="A222" s="12">
        <v>2024</v>
      </c>
      <c r="B222" s="11">
        <v>12391961000</v>
      </c>
      <c r="C222" s="11"/>
      <c r="D222" s="11">
        <v>1047368000</v>
      </c>
      <c r="E222" s="11"/>
      <c r="F222" s="11"/>
      <c r="G222" s="11"/>
      <c r="H222" s="11"/>
      <c r="I222" s="11">
        <v>1453904000</v>
      </c>
      <c r="J222" s="11"/>
      <c r="K222" s="11"/>
      <c r="L222" s="11">
        <v>6724146000</v>
      </c>
      <c r="M222" s="11"/>
      <c r="N222" s="11">
        <v>5491654000</v>
      </c>
      <c r="O222" s="11"/>
      <c r="P222" s="10" t="s">
        <v>26</v>
      </c>
      <c r="Q222" s="11"/>
      <c r="R222" s="11">
        <v>0.44316262777134308</v>
      </c>
      <c r="S222" s="11" t="s">
        <v>124</v>
      </c>
      <c r="T222" s="10" t="s">
        <v>141</v>
      </c>
    </row>
    <row r="223" spans="1:20" x14ac:dyDescent="0.35">
      <c r="A223" s="12">
        <v>2012</v>
      </c>
      <c r="B223" s="11">
        <v>32586606000</v>
      </c>
      <c r="C223" s="11"/>
      <c r="D223" s="11">
        <v>516721000</v>
      </c>
      <c r="E223" s="11"/>
      <c r="F223" s="11">
        <v>1127025000</v>
      </c>
      <c r="G223" s="11"/>
      <c r="H223" s="11"/>
      <c r="I223" s="11">
        <v>1118969000</v>
      </c>
      <c r="J223" s="11"/>
      <c r="K223" s="11"/>
      <c r="L223" s="11">
        <v>5910603000</v>
      </c>
      <c r="M223" s="11"/>
      <c r="N223" s="11">
        <v>25515511000</v>
      </c>
      <c r="O223" s="11"/>
      <c r="P223" s="10" t="s">
        <v>26</v>
      </c>
      <c r="Q223" s="11"/>
      <c r="R223" s="11">
        <v>0.78300609152116052</v>
      </c>
      <c r="S223" s="11" t="s">
        <v>125</v>
      </c>
      <c r="T223" s="10" t="s">
        <v>141</v>
      </c>
    </row>
    <row r="224" spans="1:20" x14ac:dyDescent="0.35">
      <c r="A224" s="12">
        <v>2013</v>
      </c>
      <c r="B224" s="11">
        <v>33324574000</v>
      </c>
      <c r="C224" s="11"/>
      <c r="D224" s="11">
        <v>557689000</v>
      </c>
      <c r="E224" s="11"/>
      <c r="F224" s="11">
        <v>1137139000</v>
      </c>
      <c r="G224" s="11"/>
      <c r="H224" s="11"/>
      <c r="I224" s="11">
        <v>1215058000</v>
      </c>
      <c r="J224" s="11"/>
      <c r="K224" s="11"/>
      <c r="L224" s="11">
        <v>5849406000</v>
      </c>
      <c r="M224" s="11"/>
      <c r="N224" s="11">
        <v>26311457000</v>
      </c>
      <c r="O224" s="11"/>
      <c r="P224" s="10" t="s">
        <v>26</v>
      </c>
      <c r="Q224" s="11"/>
      <c r="R224" s="11">
        <v>0.78955118826125126</v>
      </c>
      <c r="S224" s="11" t="s">
        <v>125</v>
      </c>
      <c r="T224" s="10" t="s">
        <v>141</v>
      </c>
    </row>
    <row r="225" spans="1:20" x14ac:dyDescent="0.35">
      <c r="A225" s="12">
        <v>2014</v>
      </c>
      <c r="B225" s="11">
        <v>29532330000</v>
      </c>
      <c r="C225" s="11"/>
      <c r="D225" s="11">
        <v>560965000</v>
      </c>
      <c r="E225" s="11"/>
      <c r="F225" s="11">
        <v>992601000</v>
      </c>
      <c r="G225" s="11"/>
      <c r="H225" s="11"/>
      <c r="I225" s="11">
        <v>1157022000</v>
      </c>
      <c r="J225" s="11"/>
      <c r="K225" s="11"/>
      <c r="L225" s="11">
        <v>5093177000</v>
      </c>
      <c r="M225" s="11"/>
      <c r="N225" s="11">
        <v>23555288000</v>
      </c>
      <c r="O225" s="11"/>
      <c r="P225" s="10" t="s">
        <v>26</v>
      </c>
      <c r="Q225" s="11"/>
      <c r="R225" s="11">
        <v>0.7976102122656763</v>
      </c>
      <c r="S225" s="11" t="s">
        <v>125</v>
      </c>
      <c r="T225" s="10" t="s">
        <v>141</v>
      </c>
    </row>
    <row r="226" spans="1:20" x14ac:dyDescent="0.35">
      <c r="A226" s="12">
        <v>2015</v>
      </c>
      <c r="B226" s="11">
        <v>30650673000</v>
      </c>
      <c r="C226" s="11"/>
      <c r="D226" s="11">
        <v>599171000</v>
      </c>
      <c r="E226" s="11"/>
      <c r="F226" s="11">
        <v>923697000</v>
      </c>
      <c r="G226" s="11"/>
      <c r="H226" s="11"/>
      <c r="I226" s="11">
        <v>1216235000</v>
      </c>
      <c r="J226" s="11"/>
      <c r="K226" s="11"/>
      <c r="L226" s="11">
        <v>4471464000</v>
      </c>
      <c r="M226" s="11"/>
      <c r="N226" s="11">
        <v>25408767000</v>
      </c>
      <c r="O226" s="11"/>
      <c r="P226" s="10" t="s">
        <v>26</v>
      </c>
      <c r="Q226" s="11"/>
      <c r="R226" s="11">
        <v>0.82897908962716738</v>
      </c>
      <c r="S226" s="11" t="s">
        <v>125</v>
      </c>
      <c r="T226" s="10" t="s">
        <v>141</v>
      </c>
    </row>
    <row r="227" spans="1:20" x14ac:dyDescent="0.35">
      <c r="A227" s="12">
        <v>2016</v>
      </c>
      <c r="B227" s="11">
        <v>31103578000</v>
      </c>
      <c r="C227" s="11"/>
      <c r="D227" s="11">
        <v>684901000</v>
      </c>
      <c r="E227" s="11"/>
      <c r="F227" s="11">
        <v>857554000</v>
      </c>
      <c r="G227" s="11"/>
      <c r="H227" s="11"/>
      <c r="I227" s="11">
        <v>1336715000</v>
      </c>
      <c r="J227" s="11"/>
      <c r="K227" s="11"/>
      <c r="L227" s="11">
        <v>4310448000</v>
      </c>
      <c r="M227" s="11"/>
      <c r="N227" s="11">
        <v>26005904000</v>
      </c>
      <c r="O227" s="11"/>
      <c r="P227" s="10" t="s">
        <v>26</v>
      </c>
      <c r="Q227" s="11"/>
      <c r="R227" s="11">
        <v>0.83610650838948497</v>
      </c>
      <c r="S227" s="11" t="s">
        <v>125</v>
      </c>
      <c r="T227" s="10" t="s">
        <v>141</v>
      </c>
    </row>
    <row r="228" spans="1:20" x14ac:dyDescent="0.35">
      <c r="A228" s="12">
        <v>2017</v>
      </c>
      <c r="B228" s="11">
        <v>32257638000</v>
      </c>
      <c r="C228" s="11"/>
      <c r="D228" s="11">
        <v>676671000</v>
      </c>
      <c r="E228" s="11"/>
      <c r="F228" s="11">
        <v>809393000</v>
      </c>
      <c r="G228" s="11"/>
      <c r="H228" s="11"/>
      <c r="I228" s="11">
        <v>1345763000</v>
      </c>
      <c r="J228" s="11"/>
      <c r="K228" s="11"/>
      <c r="L228" s="11">
        <v>3686168000</v>
      </c>
      <c r="M228" s="11"/>
      <c r="N228" s="11">
        <v>27828394000</v>
      </c>
      <c r="O228" s="11"/>
      <c r="P228" s="10" t="s">
        <v>26</v>
      </c>
      <c r="Q228" s="11"/>
      <c r="R228" s="11">
        <v>0.86269162050860637</v>
      </c>
      <c r="S228" s="11" t="s">
        <v>125</v>
      </c>
      <c r="T228" s="10" t="s">
        <v>141</v>
      </c>
    </row>
    <row r="229" spans="1:20" x14ac:dyDescent="0.35">
      <c r="A229" s="12">
        <v>2018</v>
      </c>
      <c r="B229" s="11">
        <v>30686223000</v>
      </c>
      <c r="C229" s="11"/>
      <c r="D229" s="11">
        <v>701933000</v>
      </c>
      <c r="E229" s="11"/>
      <c r="F229" s="11">
        <v>815923000</v>
      </c>
      <c r="G229" s="11"/>
      <c r="H229" s="11"/>
      <c r="I229" s="11">
        <v>1399814000</v>
      </c>
      <c r="J229" s="11"/>
      <c r="K229" s="11"/>
      <c r="L229" s="11">
        <v>3296681000</v>
      </c>
      <c r="M229" s="11"/>
      <c r="N229" s="11">
        <v>26659104000</v>
      </c>
      <c r="O229" s="11"/>
      <c r="P229" s="10" t="s">
        <v>26</v>
      </c>
      <c r="Q229" s="11"/>
      <c r="R229" s="11">
        <v>0.86876459184957366</v>
      </c>
      <c r="S229" s="11" t="s">
        <v>125</v>
      </c>
      <c r="T229" s="10" t="s">
        <v>141</v>
      </c>
    </row>
    <row r="230" spans="1:20" x14ac:dyDescent="0.35">
      <c r="A230" s="12">
        <v>2019</v>
      </c>
      <c r="B230" s="11">
        <v>31231630000</v>
      </c>
      <c r="C230" s="11"/>
      <c r="D230" s="11">
        <v>745021000</v>
      </c>
      <c r="E230" s="11"/>
      <c r="F230" s="11">
        <v>789353000</v>
      </c>
      <c r="G230" s="11"/>
      <c r="H230" s="11"/>
      <c r="I230" s="11">
        <v>1452834000</v>
      </c>
      <c r="J230" s="11"/>
      <c r="K230" s="11"/>
      <c r="L230" s="11">
        <v>2526398000</v>
      </c>
      <c r="M230" s="11"/>
      <c r="N230" s="11">
        <v>28101319000</v>
      </c>
      <c r="O230" s="11"/>
      <c r="P230" s="10" t="s">
        <v>26</v>
      </c>
      <c r="Q230" s="11"/>
      <c r="R230" s="11">
        <v>0.89977112946074222</v>
      </c>
      <c r="S230" s="11" t="s">
        <v>125</v>
      </c>
      <c r="T230" s="10" t="s">
        <v>141</v>
      </c>
    </row>
    <row r="231" spans="1:20" x14ac:dyDescent="0.35">
      <c r="A231" s="12">
        <v>2020</v>
      </c>
      <c r="B231" s="11">
        <v>34786846000</v>
      </c>
      <c r="C231" s="11"/>
      <c r="D231" s="11">
        <v>654869000</v>
      </c>
      <c r="E231" s="11"/>
      <c r="F231" s="11">
        <v>784400000</v>
      </c>
      <c r="G231" s="11"/>
      <c r="H231" s="11"/>
      <c r="I231" s="11">
        <v>1353360000</v>
      </c>
      <c r="J231" s="11"/>
      <c r="K231" s="11"/>
      <c r="L231" s="11">
        <v>3039472000</v>
      </c>
      <c r="M231" s="11"/>
      <c r="N231" s="11">
        <v>31128608000</v>
      </c>
      <c r="O231" s="11"/>
      <c r="P231" s="10" t="s">
        <v>26</v>
      </c>
      <c r="Q231" s="11"/>
      <c r="R231" s="11">
        <v>0.89483846854066618</v>
      </c>
      <c r="S231" s="11" t="s">
        <v>125</v>
      </c>
      <c r="T231" s="10" t="s">
        <v>141</v>
      </c>
    </row>
    <row r="232" spans="1:20" x14ac:dyDescent="0.35">
      <c r="A232" s="12">
        <v>2021</v>
      </c>
      <c r="B232" s="11">
        <v>33777379000</v>
      </c>
      <c r="C232" s="11"/>
      <c r="D232" s="11">
        <v>604612000</v>
      </c>
      <c r="E232" s="11"/>
      <c r="F232" s="11">
        <v>795712000</v>
      </c>
      <c r="G232" s="11"/>
      <c r="H232" s="11"/>
      <c r="I232" s="11">
        <v>1239951000</v>
      </c>
      <c r="J232" s="11"/>
      <c r="K232" s="11"/>
      <c r="L232" s="11">
        <v>3361452000</v>
      </c>
      <c r="M232" s="11"/>
      <c r="N232" s="11">
        <v>29376654000</v>
      </c>
      <c r="O232" s="11"/>
      <c r="P232" s="10" t="s">
        <v>26</v>
      </c>
      <c r="Q232" s="11"/>
      <c r="R232" s="11">
        <v>0.86971384014135611</v>
      </c>
      <c r="S232" s="11" t="s">
        <v>125</v>
      </c>
      <c r="T232" s="10" t="s">
        <v>141</v>
      </c>
    </row>
    <row r="233" spans="1:20" x14ac:dyDescent="0.35">
      <c r="A233" s="12">
        <v>2022</v>
      </c>
      <c r="B233" s="11">
        <v>33011274000</v>
      </c>
      <c r="C233" s="11"/>
      <c r="D233" s="11">
        <v>620391000</v>
      </c>
      <c r="E233" s="11"/>
      <c r="F233" s="11">
        <v>761253000</v>
      </c>
      <c r="G233" s="11"/>
      <c r="H233" s="11"/>
      <c r="I233" s="11">
        <v>1295922000</v>
      </c>
      <c r="J233" s="11"/>
      <c r="K233" s="11"/>
      <c r="L233" s="11">
        <v>3138524000</v>
      </c>
      <c r="M233" s="11"/>
      <c r="N233" s="11">
        <v>29187383000</v>
      </c>
      <c r="O233" s="11"/>
      <c r="P233" s="10" t="s">
        <v>26</v>
      </c>
      <c r="Q233" s="11"/>
      <c r="R233" s="11">
        <v>0.8841640889109581</v>
      </c>
      <c r="S233" s="11" t="s">
        <v>125</v>
      </c>
      <c r="T233" s="10" t="s">
        <v>141</v>
      </c>
    </row>
    <row r="234" spans="1:20" x14ac:dyDescent="0.35">
      <c r="A234" s="12">
        <v>2023</v>
      </c>
      <c r="B234" s="11">
        <v>34283495000</v>
      </c>
      <c r="C234" s="11"/>
      <c r="D234" s="11">
        <v>662723000</v>
      </c>
      <c r="E234" s="11"/>
      <c r="F234" s="11">
        <v>854648000</v>
      </c>
      <c r="G234" s="11"/>
      <c r="H234" s="11"/>
      <c r="I234" s="11">
        <v>1350849000</v>
      </c>
      <c r="J234" s="11"/>
      <c r="K234" s="11"/>
      <c r="L234" s="11">
        <v>3022834000</v>
      </c>
      <c r="M234" s="11"/>
      <c r="N234" s="11">
        <v>30595897000</v>
      </c>
      <c r="O234" s="11"/>
      <c r="P234" s="10" t="s">
        <v>26</v>
      </c>
      <c r="Q234" s="11"/>
      <c r="R234" s="11">
        <v>0.8924380959409185</v>
      </c>
      <c r="S234" s="11" t="s">
        <v>125</v>
      </c>
      <c r="T234" s="10" t="s">
        <v>141</v>
      </c>
    </row>
    <row r="235" spans="1:20" x14ac:dyDescent="0.35">
      <c r="A235" s="12">
        <v>2024</v>
      </c>
      <c r="B235" s="11">
        <v>32405691000</v>
      </c>
      <c r="C235" s="11"/>
      <c r="D235" s="11">
        <v>735180000</v>
      </c>
      <c r="E235" s="11"/>
      <c r="F235" s="11">
        <v>905797000</v>
      </c>
      <c r="G235" s="11"/>
      <c r="H235" s="11"/>
      <c r="I235" s="11">
        <v>1442590000</v>
      </c>
      <c r="J235" s="11"/>
      <c r="K235" s="11"/>
      <c r="L235" s="11">
        <v>2941925000</v>
      </c>
      <c r="M235" s="11"/>
      <c r="N235" s="11">
        <v>28806239000</v>
      </c>
      <c r="O235" s="11"/>
      <c r="P235" s="10" t="s">
        <v>26</v>
      </c>
      <c r="Q235" s="11"/>
      <c r="R235" s="11">
        <v>0.88892531253229568</v>
      </c>
      <c r="S235" s="11" t="s">
        <v>125</v>
      </c>
      <c r="T235" s="10" t="s">
        <v>141</v>
      </c>
    </row>
    <row r="236" spans="1:20" x14ac:dyDescent="0.35">
      <c r="A236" s="12">
        <v>2012</v>
      </c>
      <c r="B236" s="11">
        <v>9311209000</v>
      </c>
      <c r="C236" s="11"/>
      <c r="D236" s="11"/>
      <c r="E236" s="11"/>
      <c r="F236" s="11">
        <v>176778000</v>
      </c>
      <c r="G236" s="11"/>
      <c r="H236" s="11"/>
      <c r="I236" s="11">
        <v>214729000</v>
      </c>
      <c r="J236" s="11"/>
      <c r="K236" s="11"/>
      <c r="L236" s="11">
        <v>3077529000</v>
      </c>
      <c r="M236" s="11"/>
      <c r="N236" s="11">
        <v>5894958000</v>
      </c>
      <c r="O236" s="11"/>
      <c r="P236" s="10" t="s">
        <v>26</v>
      </c>
      <c r="Q236" s="11"/>
      <c r="R236" s="11">
        <v>0.6331033918366562</v>
      </c>
      <c r="S236" s="11" t="s">
        <v>126</v>
      </c>
      <c r="T236" s="10" t="s">
        <v>141</v>
      </c>
    </row>
    <row r="237" spans="1:20" x14ac:dyDescent="0.35">
      <c r="A237" s="12">
        <v>2013</v>
      </c>
      <c r="B237" s="11">
        <v>9075250000</v>
      </c>
      <c r="C237" s="11"/>
      <c r="D237" s="11"/>
      <c r="E237" s="11"/>
      <c r="F237" s="11">
        <v>197247000</v>
      </c>
      <c r="G237" s="11"/>
      <c r="H237" s="11"/>
      <c r="I237" s="11">
        <v>243307000</v>
      </c>
      <c r="J237" s="11"/>
      <c r="K237" s="11"/>
      <c r="L237" s="11">
        <v>3358749000</v>
      </c>
      <c r="M237" s="11"/>
      <c r="N237" s="11">
        <v>5356533000</v>
      </c>
      <c r="O237" s="11"/>
      <c r="P237" s="10" t="s">
        <v>26</v>
      </c>
      <c r="Q237" s="11"/>
      <c r="R237" s="11">
        <v>0.59023531032202969</v>
      </c>
      <c r="S237" s="11" t="s">
        <v>126</v>
      </c>
      <c r="T237" s="10" t="s">
        <v>141</v>
      </c>
    </row>
    <row r="238" spans="1:20" x14ac:dyDescent="0.35">
      <c r="A238" s="12">
        <v>2014</v>
      </c>
      <c r="B238" s="11">
        <v>13121778000</v>
      </c>
      <c r="C238" s="11"/>
      <c r="D238" s="11"/>
      <c r="E238" s="11"/>
      <c r="F238" s="11">
        <v>190689000</v>
      </c>
      <c r="G238" s="11"/>
      <c r="H238" s="11"/>
      <c r="I238" s="11">
        <v>264511000</v>
      </c>
      <c r="J238" s="11"/>
      <c r="K238" s="11"/>
      <c r="L238" s="11">
        <v>5640120000</v>
      </c>
      <c r="M238" s="11"/>
      <c r="N238" s="11">
        <v>7081929000</v>
      </c>
      <c r="O238" s="11"/>
      <c r="P238" s="10" t="s">
        <v>26</v>
      </c>
      <c r="Q238" s="11"/>
      <c r="R238" s="11">
        <v>0.53970803346924479</v>
      </c>
      <c r="S238" s="11" t="s">
        <v>126</v>
      </c>
      <c r="T238" s="10" t="s">
        <v>141</v>
      </c>
    </row>
    <row r="239" spans="1:20" x14ac:dyDescent="0.35">
      <c r="A239" s="12">
        <v>2015</v>
      </c>
      <c r="B239" s="11">
        <v>11258576000</v>
      </c>
      <c r="C239" s="11"/>
      <c r="D239" s="11"/>
      <c r="E239" s="11"/>
      <c r="F239" s="11">
        <v>211943000</v>
      </c>
      <c r="G239" s="11"/>
      <c r="H239" s="11"/>
      <c r="I239" s="11">
        <v>318335000</v>
      </c>
      <c r="J239" s="11"/>
      <c r="K239" s="11"/>
      <c r="L239" s="11">
        <v>4715414000</v>
      </c>
      <c r="M239" s="11"/>
      <c r="N239" s="11">
        <v>6187337000</v>
      </c>
      <c r="O239" s="11"/>
      <c r="P239" s="10" t="s">
        <v>26</v>
      </c>
      <c r="Q239" s="11"/>
      <c r="R239" s="11">
        <v>0.54956657040819368</v>
      </c>
      <c r="S239" s="11" t="s">
        <v>126</v>
      </c>
      <c r="T239" s="10" t="s">
        <v>141</v>
      </c>
    </row>
    <row r="240" spans="1:20" x14ac:dyDescent="0.35">
      <c r="A240" s="12">
        <v>2016</v>
      </c>
      <c r="B240" s="11">
        <v>9958148000</v>
      </c>
      <c r="C240" s="11"/>
      <c r="D240" s="11"/>
      <c r="E240" s="11"/>
      <c r="F240" s="11">
        <v>163675000</v>
      </c>
      <c r="G240" s="11"/>
      <c r="H240" s="11"/>
      <c r="I240" s="11">
        <v>256000000</v>
      </c>
      <c r="J240" s="11"/>
      <c r="K240" s="11"/>
      <c r="L240" s="11">
        <v>4105887000</v>
      </c>
      <c r="M240" s="11"/>
      <c r="N240" s="11">
        <v>5530980000</v>
      </c>
      <c r="O240" s="11"/>
      <c r="P240" s="10" t="s">
        <v>26</v>
      </c>
      <c r="Q240" s="11"/>
      <c r="R240" s="11">
        <v>0.55542255447498867</v>
      </c>
      <c r="S240" s="11" t="s">
        <v>126</v>
      </c>
      <c r="T240" s="10" t="s">
        <v>141</v>
      </c>
    </row>
    <row r="241" spans="1:20" x14ac:dyDescent="0.35">
      <c r="A241" s="12">
        <v>2017</v>
      </c>
      <c r="B241" s="11">
        <v>9605862000</v>
      </c>
      <c r="C241" s="11"/>
      <c r="D241" s="11"/>
      <c r="E241" s="11"/>
      <c r="F241" s="11">
        <v>171776000</v>
      </c>
      <c r="G241" s="11"/>
      <c r="H241" s="11"/>
      <c r="I241" s="11">
        <v>247045000</v>
      </c>
      <c r="J241" s="11"/>
      <c r="K241" s="11"/>
      <c r="L241" s="11">
        <v>3681578000</v>
      </c>
      <c r="M241" s="11"/>
      <c r="N241" s="11">
        <v>5637863000</v>
      </c>
      <c r="O241" s="11"/>
      <c r="P241" s="10" t="s">
        <v>26</v>
      </c>
      <c r="Q241" s="11"/>
      <c r="R241" s="11">
        <v>0.58691900841382061</v>
      </c>
      <c r="S241" s="11" t="s">
        <v>126</v>
      </c>
      <c r="T241" s="10" t="s">
        <v>141</v>
      </c>
    </row>
    <row r="242" spans="1:20" x14ac:dyDescent="0.35">
      <c r="A242" s="12">
        <v>2018</v>
      </c>
      <c r="B242" s="11">
        <v>9026808000</v>
      </c>
      <c r="C242" s="11"/>
      <c r="D242" s="11"/>
      <c r="E242" s="11"/>
      <c r="F242" s="11">
        <v>182962000</v>
      </c>
      <c r="G242" s="11"/>
      <c r="H242" s="11"/>
      <c r="I242" s="11">
        <v>236734000</v>
      </c>
      <c r="J242" s="11"/>
      <c r="K242" s="11"/>
      <c r="L242" s="11">
        <v>2950232000</v>
      </c>
      <c r="M242" s="11"/>
      <c r="N242" s="11">
        <v>5838376000</v>
      </c>
      <c r="O242" s="11"/>
      <c r="P242" s="10" t="s">
        <v>26</v>
      </c>
      <c r="Q242" s="11"/>
      <c r="R242" s="11">
        <v>0.64678189676793829</v>
      </c>
      <c r="S242" s="11" t="s">
        <v>126</v>
      </c>
      <c r="T242" s="10" t="s">
        <v>141</v>
      </c>
    </row>
    <row r="243" spans="1:20" x14ac:dyDescent="0.35">
      <c r="A243" s="12">
        <v>2019</v>
      </c>
      <c r="B243" s="11">
        <v>8853571000</v>
      </c>
      <c r="C243" s="11"/>
      <c r="D243" s="11"/>
      <c r="E243" s="11">
        <v>574330000</v>
      </c>
      <c r="F243" s="11">
        <v>138254000</v>
      </c>
      <c r="G243" s="11"/>
      <c r="H243" s="11"/>
      <c r="I243" s="11">
        <v>226522000</v>
      </c>
      <c r="J243" s="11"/>
      <c r="K243" s="11"/>
      <c r="L243" s="11">
        <v>2632262000</v>
      </c>
      <c r="M243" s="11"/>
      <c r="N243" s="11">
        <v>6022601000</v>
      </c>
      <c r="O243" s="11"/>
      <c r="P243" s="10" t="s">
        <v>26</v>
      </c>
      <c r="Q243" s="11"/>
      <c r="R243" s="11">
        <v>0.68024540606270623</v>
      </c>
      <c r="S243" s="11" t="s">
        <v>126</v>
      </c>
      <c r="T243" s="10" t="s">
        <v>141</v>
      </c>
    </row>
    <row r="244" spans="1:20" x14ac:dyDescent="0.35">
      <c r="A244" s="12">
        <v>2020</v>
      </c>
      <c r="B244" s="11">
        <v>9184005000</v>
      </c>
      <c r="C244" s="11"/>
      <c r="D244" s="11"/>
      <c r="E244" s="11">
        <v>170958000</v>
      </c>
      <c r="F244" s="11">
        <v>75550000</v>
      </c>
      <c r="G244" s="11"/>
      <c r="H244" s="11"/>
      <c r="I244" s="11">
        <v>226952000</v>
      </c>
      <c r="J244" s="11"/>
      <c r="K244" s="11"/>
      <c r="L244" s="11">
        <v>2257049000</v>
      </c>
      <c r="M244" s="11"/>
      <c r="N244" s="11">
        <v>6738745000</v>
      </c>
      <c r="O244" s="11"/>
      <c r="P244" s="10" t="s">
        <v>26</v>
      </c>
      <c r="Q244" s="11"/>
      <c r="R244" s="11">
        <v>0.73374796725393765</v>
      </c>
      <c r="S244" s="11" t="s">
        <v>126</v>
      </c>
      <c r="T244" s="10" t="s">
        <v>141</v>
      </c>
    </row>
    <row r="245" spans="1:20" x14ac:dyDescent="0.35">
      <c r="A245" s="12">
        <v>2021</v>
      </c>
      <c r="B245" s="11">
        <v>8345655000</v>
      </c>
      <c r="C245" s="11"/>
      <c r="D245" s="11"/>
      <c r="E245" s="11">
        <v>538293000</v>
      </c>
      <c r="F245" s="11">
        <v>192679000</v>
      </c>
      <c r="G245" s="11"/>
      <c r="H245" s="11"/>
      <c r="I245" s="11">
        <v>847437000</v>
      </c>
      <c r="J245" s="11"/>
      <c r="K245" s="11"/>
      <c r="L245" s="11">
        <v>3046867000</v>
      </c>
      <c r="M245" s="11"/>
      <c r="N245" s="11">
        <v>5169506000</v>
      </c>
      <c r="O245" s="11"/>
      <c r="P245" s="10" t="s">
        <v>26</v>
      </c>
      <c r="Q245" s="11"/>
      <c r="R245" s="11">
        <v>0.61942483843389162</v>
      </c>
      <c r="S245" s="11" t="s">
        <v>126</v>
      </c>
      <c r="T245" s="10" t="s">
        <v>141</v>
      </c>
    </row>
    <row r="246" spans="1:20" x14ac:dyDescent="0.35">
      <c r="A246" s="12">
        <v>2022</v>
      </c>
      <c r="B246" s="11">
        <v>8094139000</v>
      </c>
      <c r="C246" s="11"/>
      <c r="D246" s="11"/>
      <c r="E246" s="11">
        <v>453968000</v>
      </c>
      <c r="F246" s="11">
        <v>216851000</v>
      </c>
      <c r="G246" s="11"/>
      <c r="H246" s="11"/>
      <c r="I246" s="11">
        <v>859164000</v>
      </c>
      <c r="J246" s="11"/>
      <c r="K246" s="11"/>
      <c r="L246" s="11">
        <v>2865773000</v>
      </c>
      <c r="M246" s="11"/>
      <c r="N246" s="11">
        <v>5144790000</v>
      </c>
      <c r="O246" s="11"/>
      <c r="P246" s="10" t="s">
        <v>26</v>
      </c>
      <c r="Q246" s="11"/>
      <c r="R246" s="11">
        <v>0.63561918074300428</v>
      </c>
      <c r="S246" s="11" t="s">
        <v>126</v>
      </c>
      <c r="T246" s="10" t="s">
        <v>141</v>
      </c>
    </row>
    <row r="247" spans="1:20" x14ac:dyDescent="0.35">
      <c r="A247" s="12">
        <v>2023</v>
      </c>
      <c r="B247" s="11">
        <v>7513512000</v>
      </c>
      <c r="C247" s="11"/>
      <c r="D247" s="11"/>
      <c r="E247" s="11"/>
      <c r="F247" s="11"/>
      <c r="G247" s="11"/>
      <c r="H247" s="11"/>
      <c r="I247" s="11">
        <v>884068000</v>
      </c>
      <c r="J247" s="11"/>
      <c r="K247" s="11"/>
      <c r="L247" s="11">
        <v>2447020000</v>
      </c>
      <c r="M247" s="11"/>
      <c r="N247" s="11">
        <v>4985911000</v>
      </c>
      <c r="O247" s="11"/>
      <c r="P247" s="10" t="s">
        <v>26</v>
      </c>
      <c r="Q247" s="11"/>
      <c r="R247" s="11">
        <v>0.66359260489635208</v>
      </c>
      <c r="S247" s="11" t="s">
        <v>126</v>
      </c>
      <c r="T247" s="10" t="s">
        <v>141</v>
      </c>
    </row>
    <row r="248" spans="1:20" x14ac:dyDescent="0.35">
      <c r="A248" s="12">
        <v>2024</v>
      </c>
      <c r="B248" s="11">
        <v>8567039000</v>
      </c>
      <c r="C248" s="11"/>
      <c r="D248" s="11"/>
      <c r="E248" s="11"/>
      <c r="F248" s="11"/>
      <c r="G248" s="11"/>
      <c r="H248" s="11"/>
      <c r="I248" s="11">
        <v>918204000</v>
      </c>
      <c r="J248" s="11"/>
      <c r="K248" s="11"/>
      <c r="L248" s="11">
        <v>2756487000</v>
      </c>
      <c r="M248" s="11"/>
      <c r="N248" s="11">
        <v>5724614000</v>
      </c>
      <c r="O248" s="11"/>
      <c r="P248" s="10" t="s">
        <v>26</v>
      </c>
      <c r="Q248" s="11"/>
      <c r="R248" s="11">
        <v>0.66821383677604362</v>
      </c>
      <c r="S248" s="11" t="s">
        <v>126</v>
      </c>
      <c r="T248" s="10" t="s">
        <v>141</v>
      </c>
    </row>
    <row r="249" spans="1:20" x14ac:dyDescent="0.35">
      <c r="A249" s="12">
        <v>2012</v>
      </c>
      <c r="B249" s="11">
        <v>1288656905</v>
      </c>
      <c r="C249" s="11"/>
      <c r="D249" s="11">
        <v>4473155</v>
      </c>
      <c r="E249" s="11">
        <v>61592964</v>
      </c>
      <c r="F249" s="11">
        <v>25660381</v>
      </c>
      <c r="G249" s="11"/>
      <c r="H249" s="11"/>
      <c r="I249" s="11">
        <v>24833404</v>
      </c>
      <c r="J249" s="11"/>
      <c r="K249" s="11"/>
      <c r="L249" s="11">
        <v>473086357</v>
      </c>
      <c r="M249" s="11"/>
      <c r="N249" s="11">
        <v>774365441</v>
      </c>
      <c r="O249" s="11"/>
      <c r="P249" s="10" t="s">
        <v>26</v>
      </c>
      <c r="Q249" s="11"/>
      <c r="R249" s="11">
        <v>0.60090892928556494</v>
      </c>
      <c r="S249" s="11" t="s">
        <v>127</v>
      </c>
      <c r="T249" s="10" t="s">
        <v>141</v>
      </c>
    </row>
    <row r="250" spans="1:20" x14ac:dyDescent="0.35">
      <c r="A250" s="12">
        <v>2013</v>
      </c>
      <c r="B250" s="11">
        <v>1763927030</v>
      </c>
      <c r="C250" s="11"/>
      <c r="D250" s="11">
        <v>8727382</v>
      </c>
      <c r="E250" s="11">
        <v>79885269</v>
      </c>
      <c r="F250" s="11">
        <v>27993577</v>
      </c>
      <c r="G250" s="11"/>
      <c r="H250" s="11"/>
      <c r="I250" s="11">
        <v>31035859</v>
      </c>
      <c r="J250" s="11"/>
      <c r="K250" s="11"/>
      <c r="L250" s="11">
        <v>753557171</v>
      </c>
      <c r="M250" s="11"/>
      <c r="N250" s="11">
        <v>962894663</v>
      </c>
      <c r="O250" s="11"/>
      <c r="P250" s="10" t="s">
        <v>26</v>
      </c>
      <c r="Q250" s="11"/>
      <c r="R250" s="11">
        <v>0.54588123353379303</v>
      </c>
      <c r="S250" s="11" t="s">
        <v>127</v>
      </c>
      <c r="T250" s="10" t="s">
        <v>141</v>
      </c>
    </row>
    <row r="251" spans="1:20" x14ac:dyDescent="0.35">
      <c r="A251" s="12">
        <v>2014</v>
      </c>
      <c r="B251" s="11">
        <v>3874216000</v>
      </c>
      <c r="C251" s="11"/>
      <c r="D251" s="11">
        <v>5206000</v>
      </c>
      <c r="E251" s="11">
        <v>160834000</v>
      </c>
      <c r="F251" s="11">
        <v>45513000</v>
      </c>
      <c r="G251" s="11"/>
      <c r="H251" s="11"/>
      <c r="I251" s="11">
        <v>42660000</v>
      </c>
      <c r="J251" s="11"/>
      <c r="K251" s="11"/>
      <c r="L251" s="11">
        <v>1898784000</v>
      </c>
      <c r="M251" s="11"/>
      <c r="N251" s="11">
        <v>1846986000</v>
      </c>
      <c r="O251" s="11"/>
      <c r="P251" s="10" t="s">
        <v>26</v>
      </c>
      <c r="Q251" s="11"/>
      <c r="R251" s="11">
        <v>0.47673800325020599</v>
      </c>
      <c r="S251" s="11" t="s">
        <v>127</v>
      </c>
      <c r="T251" s="10" t="s">
        <v>141</v>
      </c>
    </row>
    <row r="252" spans="1:20" x14ac:dyDescent="0.35">
      <c r="A252" s="12">
        <v>2015</v>
      </c>
      <c r="B252" s="11">
        <v>3766038000</v>
      </c>
      <c r="C252" s="11"/>
      <c r="D252" s="11">
        <v>18483000</v>
      </c>
      <c r="E252" s="11">
        <v>251047000</v>
      </c>
      <c r="F252" s="11">
        <v>56432000</v>
      </c>
      <c r="G252" s="11"/>
      <c r="H252" s="11"/>
      <c r="I252" s="11">
        <v>86828000</v>
      </c>
      <c r="J252" s="11"/>
      <c r="K252" s="11"/>
      <c r="L252" s="11">
        <v>1725976000</v>
      </c>
      <c r="M252" s="11"/>
      <c r="N252" s="11">
        <v>1946974000</v>
      </c>
      <c r="O252" s="11"/>
      <c r="P252" s="10" t="s">
        <v>26</v>
      </c>
      <c r="Q252" s="11"/>
      <c r="R252" s="11">
        <v>0.51698203788703145</v>
      </c>
      <c r="S252" s="11" t="s">
        <v>127</v>
      </c>
      <c r="T252" s="10" t="s">
        <v>141</v>
      </c>
    </row>
    <row r="253" spans="1:20" x14ac:dyDescent="0.35">
      <c r="A253" s="12">
        <v>2016</v>
      </c>
      <c r="B253" s="11">
        <v>3656371000</v>
      </c>
      <c r="C253" s="11"/>
      <c r="D253" s="11">
        <v>17692000</v>
      </c>
      <c r="E253" s="11">
        <v>242138000</v>
      </c>
      <c r="F253" s="11">
        <v>65577000</v>
      </c>
      <c r="G253" s="11"/>
      <c r="H253" s="11"/>
      <c r="I253" s="11">
        <v>88550000</v>
      </c>
      <c r="J253" s="11"/>
      <c r="K253" s="11"/>
      <c r="L253" s="11">
        <v>1643574000</v>
      </c>
      <c r="M253" s="11"/>
      <c r="N253" s="11">
        <v>1923940000</v>
      </c>
      <c r="O253" s="11"/>
      <c r="P253" s="10" t="s">
        <v>26</v>
      </c>
      <c r="Q253" s="11"/>
      <c r="R253" s="11">
        <v>0.52618839827796471</v>
      </c>
      <c r="S253" s="11" t="s">
        <v>127</v>
      </c>
      <c r="T253" s="10" t="s">
        <v>141</v>
      </c>
    </row>
    <row r="254" spans="1:20" x14ac:dyDescent="0.35">
      <c r="A254" s="12">
        <v>2017</v>
      </c>
      <c r="B254" s="11">
        <v>3512498000</v>
      </c>
      <c r="C254" s="11"/>
      <c r="D254" s="11">
        <v>8118000</v>
      </c>
      <c r="E254" s="11">
        <v>249567000</v>
      </c>
      <c r="F254" s="11">
        <v>65702000</v>
      </c>
      <c r="G254" s="11"/>
      <c r="H254" s="11"/>
      <c r="I254" s="11">
        <v>90112000</v>
      </c>
      <c r="J254" s="11"/>
      <c r="K254" s="11"/>
      <c r="L254" s="11">
        <v>1565411000</v>
      </c>
      <c r="M254" s="11"/>
      <c r="N254" s="11">
        <v>1874285000</v>
      </c>
      <c r="O254" s="11"/>
      <c r="P254" s="10" t="s">
        <v>26</v>
      </c>
      <c r="Q254" s="11"/>
      <c r="R254" s="11">
        <v>0.53360457429441954</v>
      </c>
      <c r="S254" s="11" t="s">
        <v>127</v>
      </c>
      <c r="T254" s="10" t="s">
        <v>141</v>
      </c>
    </row>
    <row r="255" spans="1:20" x14ac:dyDescent="0.35">
      <c r="A255" s="12">
        <v>2018</v>
      </c>
      <c r="B255" s="11">
        <v>3172013000</v>
      </c>
      <c r="C255" s="11"/>
      <c r="D255" s="11">
        <v>-1532000</v>
      </c>
      <c r="E255" s="11">
        <v>172154000</v>
      </c>
      <c r="F255" s="11">
        <v>66785000</v>
      </c>
      <c r="G255" s="11"/>
      <c r="H255" s="11"/>
      <c r="I255" s="11">
        <v>89763000</v>
      </c>
      <c r="J255" s="11"/>
      <c r="K255" s="11"/>
      <c r="L255" s="11">
        <v>1412705000</v>
      </c>
      <c r="M255" s="11"/>
      <c r="N255" s="11">
        <v>1712867000</v>
      </c>
      <c r="O255" s="11"/>
      <c r="P255" s="10" t="s">
        <v>26</v>
      </c>
      <c r="Q255" s="11"/>
      <c r="R255" s="11">
        <v>0.53999368855045671</v>
      </c>
      <c r="S255" s="11" t="s">
        <v>127</v>
      </c>
      <c r="T255" s="10" t="s">
        <v>141</v>
      </c>
    </row>
    <row r="256" spans="1:20" x14ac:dyDescent="0.35">
      <c r="A256" s="12">
        <v>2019</v>
      </c>
      <c r="B256" s="11">
        <v>2648887000</v>
      </c>
      <c r="C256" s="11"/>
      <c r="D256" s="11">
        <v>22976000</v>
      </c>
      <c r="E256" s="11">
        <v>190550000</v>
      </c>
      <c r="F256" s="11">
        <v>59268000</v>
      </c>
      <c r="G256" s="11"/>
      <c r="H256" s="11"/>
      <c r="I256" s="11">
        <v>83515000</v>
      </c>
      <c r="J256" s="11"/>
      <c r="K256" s="11"/>
      <c r="L256" s="11">
        <v>1289038000</v>
      </c>
      <c r="M256" s="11"/>
      <c r="N256" s="11">
        <v>1306577000</v>
      </c>
      <c r="O256" s="11"/>
      <c r="P256" s="10" t="s">
        <v>26</v>
      </c>
      <c r="Q256" s="11"/>
      <c r="R256" s="11">
        <v>0.49325509166680193</v>
      </c>
      <c r="S256" s="11" t="s">
        <v>127</v>
      </c>
      <c r="T256" s="10" t="s">
        <v>141</v>
      </c>
    </row>
    <row r="257" spans="1:20" x14ac:dyDescent="0.35">
      <c r="A257" s="12">
        <v>2020</v>
      </c>
      <c r="B257" s="11">
        <v>2608539000</v>
      </c>
      <c r="C257" s="11"/>
      <c r="D257" s="11">
        <v>35011000</v>
      </c>
      <c r="E257" s="11">
        <v>162128000</v>
      </c>
      <c r="F257" s="11">
        <v>50399000</v>
      </c>
      <c r="G257" s="11"/>
      <c r="H257" s="11"/>
      <c r="I257" s="11">
        <v>266645000</v>
      </c>
      <c r="J257" s="11"/>
      <c r="K257" s="11"/>
      <c r="L257" s="11">
        <v>1230654000</v>
      </c>
      <c r="M257" s="11"/>
      <c r="N257" s="11">
        <v>1333912000</v>
      </c>
      <c r="O257" s="11"/>
      <c r="P257" s="10" t="s">
        <v>26</v>
      </c>
      <c r="Q257" s="11"/>
      <c r="R257" s="11">
        <v>0.51136364071995855</v>
      </c>
      <c r="S257" s="11" t="s">
        <v>127</v>
      </c>
      <c r="T257" s="10" t="s">
        <v>141</v>
      </c>
    </row>
    <row r="258" spans="1:20" x14ac:dyDescent="0.35">
      <c r="A258" s="12">
        <v>2021</v>
      </c>
      <c r="B258" s="11">
        <v>7639575000</v>
      </c>
      <c r="C258" s="11"/>
      <c r="D258" s="11">
        <v>-21524000</v>
      </c>
      <c r="E258" s="11">
        <v>179791000</v>
      </c>
      <c r="F258" s="11">
        <v>60447000</v>
      </c>
      <c r="G258" s="11"/>
      <c r="H258" s="11"/>
      <c r="I258" s="11">
        <v>373324000</v>
      </c>
      <c r="J258" s="11"/>
      <c r="K258" s="11"/>
      <c r="L258" s="11">
        <v>3922047000</v>
      </c>
      <c r="M258" s="11"/>
      <c r="N258" s="11">
        <v>3657209000</v>
      </c>
      <c r="O258" s="11"/>
      <c r="P258" s="10" t="s">
        <v>26</v>
      </c>
      <c r="Q258" s="11"/>
      <c r="R258" s="11">
        <v>0.47871890779264548</v>
      </c>
      <c r="S258" s="11" t="s">
        <v>127</v>
      </c>
      <c r="T258" s="10" t="s">
        <v>141</v>
      </c>
    </row>
    <row r="259" spans="1:20" x14ac:dyDescent="0.35">
      <c r="A259" s="12">
        <v>2022</v>
      </c>
      <c r="B259" s="11">
        <v>7341982000</v>
      </c>
      <c r="C259" s="11"/>
      <c r="D259" s="11">
        <v>91669000</v>
      </c>
      <c r="E259" s="11">
        <v>561488000</v>
      </c>
      <c r="F259" s="11">
        <v>104276000</v>
      </c>
      <c r="G259" s="11"/>
      <c r="H259" s="11"/>
      <c r="I259" s="11">
        <v>801996000</v>
      </c>
      <c r="J259" s="11"/>
      <c r="K259" s="11"/>
      <c r="L259" s="11">
        <v>3766515000</v>
      </c>
      <c r="M259" s="11"/>
      <c r="N259" s="11">
        <v>3516130000</v>
      </c>
      <c r="O259" s="11"/>
      <c r="P259" s="10" t="s">
        <v>26</v>
      </c>
      <c r="Q259" s="11"/>
      <c r="R259" s="11">
        <v>0.47890746667589212</v>
      </c>
      <c r="S259" s="11" t="s">
        <v>127</v>
      </c>
      <c r="T259" s="10" t="s">
        <v>141</v>
      </c>
    </row>
    <row r="260" spans="1:20" x14ac:dyDescent="0.35">
      <c r="A260" s="12">
        <v>2023</v>
      </c>
      <c r="B260" s="11">
        <v>6944078000</v>
      </c>
      <c r="C260" s="11"/>
      <c r="D260" s="11">
        <v>152241000</v>
      </c>
      <c r="E260" s="11">
        <v>583350000</v>
      </c>
      <c r="F260" s="11">
        <v>105349000</v>
      </c>
      <c r="G260" s="11"/>
      <c r="H260" s="11"/>
      <c r="I260" s="11">
        <v>823004000</v>
      </c>
      <c r="J260" s="11"/>
      <c r="K260" s="11"/>
      <c r="L260" s="11">
        <v>3568138000</v>
      </c>
      <c r="M260" s="11"/>
      <c r="N260" s="11">
        <v>3300223000</v>
      </c>
      <c r="O260" s="11"/>
      <c r="P260" s="10" t="s">
        <v>26</v>
      </c>
      <c r="Q260" s="11"/>
      <c r="R260" s="11">
        <v>0.4752571903714215</v>
      </c>
      <c r="S260" s="11" t="s">
        <v>127</v>
      </c>
      <c r="T260" s="10" t="s">
        <v>141</v>
      </c>
    </row>
    <row r="261" spans="1:20" x14ac:dyDescent="0.35">
      <c r="A261" s="12">
        <v>2024</v>
      </c>
      <c r="B261" s="11">
        <v>7091767000</v>
      </c>
      <c r="C261" s="11"/>
      <c r="D261" s="11">
        <v>111390000</v>
      </c>
      <c r="E261" s="11"/>
      <c r="F261" s="11"/>
      <c r="G261" s="11"/>
      <c r="H261" s="11"/>
      <c r="I261" s="11">
        <v>841842000</v>
      </c>
      <c r="J261" s="11"/>
      <c r="K261" s="11"/>
      <c r="L261" s="11">
        <v>3312110000</v>
      </c>
      <c r="M261" s="11"/>
      <c r="N261" s="11">
        <v>3679690000</v>
      </c>
      <c r="O261" s="11"/>
      <c r="P261" s="10" t="s">
        <v>26</v>
      </c>
      <c r="Q261" s="11"/>
      <c r="R261" s="11">
        <v>0.51886786466616852</v>
      </c>
      <c r="S261" s="11" t="s">
        <v>127</v>
      </c>
      <c r="T261" s="10" t="s">
        <v>141</v>
      </c>
    </row>
    <row r="262" spans="1:20" x14ac:dyDescent="0.35">
      <c r="A262" s="12">
        <v>2012</v>
      </c>
      <c r="B262" s="11">
        <v>18980000000</v>
      </c>
      <c r="C262" s="11"/>
      <c r="D262" s="11"/>
      <c r="E262" s="11"/>
      <c r="F262" s="11">
        <v>293401000</v>
      </c>
      <c r="G262" s="11"/>
      <c r="H262" s="11"/>
      <c r="I262" s="11">
        <v>568566000</v>
      </c>
      <c r="J262" s="11"/>
      <c r="K262" s="11"/>
      <c r="L262" s="11">
        <v>9019128000</v>
      </c>
      <c r="M262" s="11"/>
      <c r="N262" s="11">
        <v>9716082000</v>
      </c>
      <c r="O262" s="11"/>
      <c r="P262" s="10" t="s">
        <v>26</v>
      </c>
      <c r="Q262" s="11"/>
      <c r="R262" s="11">
        <v>0.51191159114857743</v>
      </c>
      <c r="S262" s="11" t="s">
        <v>128</v>
      </c>
      <c r="T262" s="10" t="s">
        <v>141</v>
      </c>
    </row>
    <row r="263" spans="1:20" x14ac:dyDescent="0.35">
      <c r="A263" s="12">
        <v>2013</v>
      </c>
      <c r="B263" s="11">
        <v>19731494000</v>
      </c>
      <c r="C263" s="11"/>
      <c r="D263" s="11"/>
      <c r="E263" s="11"/>
      <c r="F263" s="11">
        <v>334484000</v>
      </c>
      <c r="G263" s="11"/>
      <c r="H263" s="11"/>
      <c r="I263" s="11">
        <v>682509000</v>
      </c>
      <c r="J263" s="11"/>
      <c r="K263" s="11"/>
      <c r="L263" s="11">
        <v>8824281000</v>
      </c>
      <c r="M263" s="11"/>
      <c r="N263" s="11">
        <v>10671023000</v>
      </c>
      <c r="O263" s="11"/>
      <c r="P263" s="10" t="s">
        <v>26</v>
      </c>
      <c r="Q263" s="11"/>
      <c r="R263" s="11">
        <v>0.54081170944278223</v>
      </c>
      <c r="S263" s="11" t="s">
        <v>128</v>
      </c>
      <c r="T263" s="10" t="s">
        <v>141</v>
      </c>
    </row>
    <row r="264" spans="1:20" x14ac:dyDescent="0.35">
      <c r="A264" s="12">
        <v>2014</v>
      </c>
      <c r="B264" s="11">
        <v>21226171000</v>
      </c>
      <c r="C264" s="11"/>
      <c r="D264" s="11"/>
      <c r="E264" s="11"/>
      <c r="F264" s="11">
        <v>376842000</v>
      </c>
      <c r="G264" s="11"/>
      <c r="H264" s="11"/>
      <c r="I264" s="11">
        <v>741470000</v>
      </c>
      <c r="J264" s="11"/>
      <c r="K264" s="11"/>
      <c r="L264" s="11">
        <v>8680184000</v>
      </c>
      <c r="M264" s="11"/>
      <c r="N264" s="11">
        <v>12299758000</v>
      </c>
      <c r="O264" s="11"/>
      <c r="P264" s="10" t="s">
        <v>26</v>
      </c>
      <c r="Q264" s="11"/>
      <c r="R264" s="11">
        <v>0.57946192933242646</v>
      </c>
      <c r="S264" s="11" t="s">
        <v>128</v>
      </c>
      <c r="T264" s="10" t="s">
        <v>141</v>
      </c>
    </row>
    <row r="265" spans="1:20" x14ac:dyDescent="0.35">
      <c r="A265" s="12">
        <v>2015</v>
      </c>
      <c r="B265" s="11">
        <v>22261918000</v>
      </c>
      <c r="C265" s="11"/>
      <c r="D265" s="11"/>
      <c r="E265" s="11"/>
      <c r="F265" s="11">
        <v>367114000</v>
      </c>
      <c r="G265" s="11"/>
      <c r="H265" s="11"/>
      <c r="I265" s="11">
        <v>805598000</v>
      </c>
      <c r="J265" s="11"/>
      <c r="K265" s="11"/>
      <c r="L265" s="11">
        <v>9564327000</v>
      </c>
      <c r="M265" s="11"/>
      <c r="N265" s="11">
        <v>12439962000</v>
      </c>
      <c r="O265" s="11"/>
      <c r="P265" s="10" t="s">
        <v>26</v>
      </c>
      <c r="Q265" s="11"/>
      <c r="R265" s="11">
        <v>0.55880009979373746</v>
      </c>
      <c r="S265" s="11" t="s">
        <v>128</v>
      </c>
      <c r="T265" s="10" t="s">
        <v>141</v>
      </c>
    </row>
    <row r="266" spans="1:20" x14ac:dyDescent="0.35">
      <c r="A266" s="12">
        <v>2016</v>
      </c>
      <c r="B266" s="11">
        <v>23166600000</v>
      </c>
      <c r="C266" s="11"/>
      <c r="D266" s="11"/>
      <c r="E266" s="11"/>
      <c r="F266" s="11">
        <v>419740000</v>
      </c>
      <c r="G266" s="11"/>
      <c r="H266" s="11"/>
      <c r="I266" s="11">
        <v>852289000</v>
      </c>
      <c r="J266" s="11"/>
      <c r="K266" s="11"/>
      <c r="L266" s="11">
        <v>10460240000</v>
      </c>
      <c r="M266" s="11"/>
      <c r="N266" s="11">
        <v>12437119000</v>
      </c>
      <c r="O266" s="11"/>
      <c r="P266" s="10" t="s">
        <v>26</v>
      </c>
      <c r="Q266" s="11"/>
      <c r="R266" s="11">
        <v>0.53685560246216535</v>
      </c>
      <c r="S266" s="11" t="s">
        <v>128</v>
      </c>
      <c r="T266" s="10" t="s">
        <v>141</v>
      </c>
    </row>
    <row r="267" spans="1:20" x14ac:dyDescent="0.35">
      <c r="A267" s="12">
        <v>2017</v>
      </c>
      <c r="B267" s="11">
        <v>23954541000</v>
      </c>
      <c r="C267" s="11"/>
      <c r="D267" s="11"/>
      <c r="E267" s="11"/>
      <c r="F267" s="11">
        <v>448196000</v>
      </c>
      <c r="G267" s="11"/>
      <c r="H267" s="11"/>
      <c r="I267" s="11">
        <v>883443000</v>
      </c>
      <c r="J267" s="11"/>
      <c r="K267" s="11"/>
      <c r="L267" s="11">
        <v>10866226000</v>
      </c>
      <c r="M267" s="11"/>
      <c r="N267" s="11">
        <v>12863866000</v>
      </c>
      <c r="O267" s="11"/>
      <c r="P267" s="10" t="s">
        <v>26</v>
      </c>
      <c r="Q267" s="11"/>
      <c r="R267" s="11">
        <v>0.53701158373270441</v>
      </c>
      <c r="S267" s="11" t="s">
        <v>128</v>
      </c>
      <c r="T267" s="10" t="s">
        <v>141</v>
      </c>
    </row>
    <row r="268" spans="1:20" x14ac:dyDescent="0.35">
      <c r="A268" s="12">
        <v>2018</v>
      </c>
      <c r="B268" s="11">
        <v>22584555000</v>
      </c>
      <c r="C268" s="11"/>
      <c r="D268" s="11"/>
      <c r="E268" s="11"/>
      <c r="F268" s="11">
        <v>442497000</v>
      </c>
      <c r="G268" s="11"/>
      <c r="H268" s="11"/>
      <c r="I268" s="11">
        <v>943705000</v>
      </c>
      <c r="J268" s="11"/>
      <c r="K268" s="11"/>
      <c r="L268" s="11">
        <v>10215857000</v>
      </c>
      <c r="M268" s="11"/>
      <c r="N268" s="11">
        <v>12124820000</v>
      </c>
      <c r="O268" s="11"/>
      <c r="P268" s="10" t="s">
        <v>26</v>
      </c>
      <c r="Q268" s="11"/>
      <c r="R268" s="11">
        <v>0.53686335639555438</v>
      </c>
      <c r="S268" s="11" t="s">
        <v>128</v>
      </c>
      <c r="T268" s="10" t="s">
        <v>141</v>
      </c>
    </row>
    <row r="269" spans="1:20" x14ac:dyDescent="0.35">
      <c r="A269" s="12">
        <v>2019</v>
      </c>
      <c r="B269" s="11">
        <v>24692208000</v>
      </c>
      <c r="C269" s="11"/>
      <c r="D269" s="11"/>
      <c r="E269" s="11"/>
      <c r="F269" s="11">
        <v>451662000</v>
      </c>
      <c r="G269" s="11"/>
      <c r="H269" s="11"/>
      <c r="I269" s="11">
        <v>942874000</v>
      </c>
      <c r="J269" s="11"/>
      <c r="K269" s="11"/>
      <c r="L269" s="11">
        <v>10445892000</v>
      </c>
      <c r="M269" s="11"/>
      <c r="N269" s="11">
        <v>13873078000</v>
      </c>
      <c r="O269" s="11"/>
      <c r="P269" s="10" t="s">
        <v>26</v>
      </c>
      <c r="Q269" s="11"/>
      <c r="R269" s="11">
        <v>0.56184031820888602</v>
      </c>
      <c r="S269" s="11" t="s">
        <v>128</v>
      </c>
      <c r="T269" s="10" t="s">
        <v>141</v>
      </c>
    </row>
    <row r="270" spans="1:20" x14ac:dyDescent="0.35">
      <c r="A270" s="12">
        <v>2020</v>
      </c>
      <c r="B270" s="11">
        <v>23929404000</v>
      </c>
      <c r="C270" s="11"/>
      <c r="D270" s="11"/>
      <c r="E270" s="11"/>
      <c r="F270" s="11">
        <v>469541000</v>
      </c>
      <c r="G270" s="11"/>
      <c r="H270" s="11"/>
      <c r="I270" s="11">
        <v>1012054000</v>
      </c>
      <c r="J270" s="11"/>
      <c r="K270" s="11"/>
      <c r="L270" s="11">
        <v>10180167000</v>
      </c>
      <c r="M270" s="11"/>
      <c r="N270" s="11">
        <v>13415723000</v>
      </c>
      <c r="O270" s="11"/>
      <c r="P270" s="10" t="s">
        <v>26</v>
      </c>
      <c r="Q270" s="11"/>
      <c r="R270" s="11">
        <v>0.56063757375653822</v>
      </c>
      <c r="S270" s="11" t="s">
        <v>128</v>
      </c>
      <c r="T270" s="10" t="s">
        <v>141</v>
      </c>
    </row>
    <row r="271" spans="1:20" x14ac:dyDescent="0.35">
      <c r="A271" s="12">
        <v>2021</v>
      </c>
      <c r="B271" s="11">
        <v>24717786000</v>
      </c>
      <c r="C271" s="11"/>
      <c r="D271" s="11"/>
      <c r="E271" s="11"/>
      <c r="F271" s="11">
        <v>440089000</v>
      </c>
      <c r="G271" s="11"/>
      <c r="H271" s="11"/>
      <c r="I271" s="11">
        <v>3828007000</v>
      </c>
      <c r="J271" s="11"/>
      <c r="K271" s="11"/>
      <c r="L271" s="11">
        <v>10854385000</v>
      </c>
      <c r="M271" s="11"/>
      <c r="N271" s="11">
        <v>13491743000</v>
      </c>
      <c r="O271" s="11"/>
      <c r="P271" s="10" t="s">
        <v>26</v>
      </c>
      <c r="Q271" s="11"/>
      <c r="R271" s="11">
        <v>0.54583137017206962</v>
      </c>
      <c r="S271" s="11" t="s">
        <v>128</v>
      </c>
      <c r="T271" s="10" t="s">
        <v>141</v>
      </c>
    </row>
    <row r="272" spans="1:20" x14ac:dyDescent="0.35">
      <c r="A272" s="12">
        <v>2022</v>
      </c>
      <c r="B272" s="11">
        <v>24157840000</v>
      </c>
      <c r="C272" s="11"/>
      <c r="D272" s="11"/>
      <c r="E272" s="11"/>
      <c r="F272" s="11">
        <v>467557000</v>
      </c>
      <c r="G272" s="11"/>
      <c r="H272" s="11"/>
      <c r="I272" s="11">
        <v>4129193000</v>
      </c>
      <c r="J272" s="11"/>
      <c r="K272" s="11"/>
      <c r="L272" s="11">
        <v>10152968000</v>
      </c>
      <c r="M272" s="11"/>
      <c r="N272" s="11">
        <v>13671513000</v>
      </c>
      <c r="O272" s="11"/>
      <c r="P272" s="10" t="s">
        <v>26</v>
      </c>
      <c r="Q272" s="11"/>
      <c r="R272" s="11">
        <v>0.56592447834740189</v>
      </c>
      <c r="S272" s="11" t="s">
        <v>128</v>
      </c>
      <c r="T272" s="10" t="s">
        <v>141</v>
      </c>
    </row>
    <row r="273" spans="1:20" x14ac:dyDescent="0.35">
      <c r="A273" s="12">
        <v>2023</v>
      </c>
      <c r="B273" s="11">
        <v>24725433000</v>
      </c>
      <c r="C273" s="11"/>
      <c r="D273" s="11"/>
      <c r="E273" s="11"/>
      <c r="F273" s="11">
        <v>574112000</v>
      </c>
      <c r="G273" s="11"/>
      <c r="H273" s="11"/>
      <c r="I273" s="11">
        <v>4497827000</v>
      </c>
      <c r="J273" s="11"/>
      <c r="K273" s="11"/>
      <c r="L273" s="11">
        <v>9488058000</v>
      </c>
      <c r="M273" s="11"/>
      <c r="N273" s="11">
        <v>14878392000</v>
      </c>
      <c r="O273" s="11"/>
      <c r="P273" s="10" t="s">
        <v>26</v>
      </c>
      <c r="Q273" s="11"/>
      <c r="R273" s="11">
        <v>0.60174444669988181</v>
      </c>
      <c r="S273" s="11" t="s">
        <v>128</v>
      </c>
      <c r="T273" s="10" t="s">
        <v>141</v>
      </c>
    </row>
    <row r="274" spans="1:20" x14ac:dyDescent="0.35">
      <c r="A274" s="12">
        <v>2024</v>
      </c>
      <c r="B274" s="11">
        <v>26186906000</v>
      </c>
      <c r="C274" s="11"/>
      <c r="D274" s="11"/>
      <c r="E274" s="11"/>
      <c r="F274" s="11">
        <v>602835000</v>
      </c>
      <c r="G274" s="11"/>
      <c r="H274" s="11"/>
      <c r="I274" s="11">
        <v>4924266000</v>
      </c>
      <c r="J274" s="11"/>
      <c r="K274" s="11"/>
      <c r="L274" s="11">
        <v>10771267000</v>
      </c>
      <c r="M274" s="11"/>
      <c r="N274" s="11">
        <v>15047081000</v>
      </c>
      <c r="O274" s="11"/>
      <c r="P274" s="10" t="s">
        <v>26</v>
      </c>
      <c r="Q274" s="11"/>
      <c r="R274" s="11">
        <v>0.57460323873312869</v>
      </c>
      <c r="S274" s="11" t="s">
        <v>128</v>
      </c>
      <c r="T274" s="10" t="s">
        <v>141</v>
      </c>
    </row>
    <row r="275" spans="1:20" x14ac:dyDescent="0.35">
      <c r="A275" s="12">
        <v>2012</v>
      </c>
      <c r="B275" s="11">
        <v>17201000000</v>
      </c>
      <c r="C275" s="11"/>
      <c r="D275" s="11">
        <v>140889000</v>
      </c>
      <c r="E275" s="11"/>
      <c r="F275" s="11"/>
      <c r="G275" s="11"/>
      <c r="H275" s="11"/>
      <c r="I275" s="11">
        <v>2123715000</v>
      </c>
      <c r="J275" s="11"/>
      <c r="K275" s="11"/>
      <c r="L275" s="11">
        <v>7289813000</v>
      </c>
      <c r="M275" s="11"/>
      <c r="N275" s="11">
        <v>9275521000</v>
      </c>
      <c r="O275" s="11"/>
      <c r="P275" s="10" t="s">
        <v>26</v>
      </c>
      <c r="Q275" s="11"/>
      <c r="R275" s="11">
        <v>0.53924312539968611</v>
      </c>
      <c r="S275" s="11" t="s">
        <v>129</v>
      </c>
      <c r="T275" s="10" t="s">
        <v>141</v>
      </c>
    </row>
    <row r="276" spans="1:20" x14ac:dyDescent="0.35">
      <c r="A276" s="12">
        <v>2013</v>
      </c>
      <c r="B276" s="11">
        <v>22834545000</v>
      </c>
      <c r="C276" s="11"/>
      <c r="D276" s="11">
        <v>104246000</v>
      </c>
      <c r="E276" s="11"/>
      <c r="F276" s="11">
        <v>700000</v>
      </c>
      <c r="G276" s="11"/>
      <c r="H276" s="11"/>
      <c r="I276" s="11">
        <v>2387702000</v>
      </c>
      <c r="J276" s="11"/>
      <c r="K276" s="11"/>
      <c r="L276" s="11">
        <v>10507201000</v>
      </c>
      <c r="M276" s="11"/>
      <c r="N276" s="11">
        <v>11626205000</v>
      </c>
      <c r="O276" s="11"/>
      <c r="P276" s="10" t="s">
        <v>26</v>
      </c>
      <c r="Q276" s="11"/>
      <c r="R276" s="11">
        <v>0.50914984292439369</v>
      </c>
      <c r="S276" s="11" t="s">
        <v>129</v>
      </c>
      <c r="T276" s="10" t="s">
        <v>141</v>
      </c>
    </row>
    <row r="277" spans="1:20" x14ac:dyDescent="0.35">
      <c r="A277" s="12">
        <v>2014</v>
      </c>
      <c r="B277" s="11">
        <v>22950614000</v>
      </c>
      <c r="C277" s="11"/>
      <c r="D277" s="11">
        <v>921375000</v>
      </c>
      <c r="E277" s="11"/>
      <c r="F277" s="11">
        <v>1300000</v>
      </c>
      <c r="G277" s="11"/>
      <c r="H277" s="11"/>
      <c r="I277" s="11">
        <v>2614748000</v>
      </c>
      <c r="J277" s="11"/>
      <c r="K277" s="11"/>
      <c r="L277" s="11">
        <v>10368456000</v>
      </c>
      <c r="M277" s="11"/>
      <c r="N277" s="11">
        <v>11742105000</v>
      </c>
      <c r="O277" s="11"/>
      <c r="P277" s="10" t="s">
        <v>26</v>
      </c>
      <c r="Q277" s="11"/>
      <c r="R277" s="11">
        <v>0.51162487417547953</v>
      </c>
      <c r="S277" s="11" t="s">
        <v>129</v>
      </c>
      <c r="T277" s="10" t="s">
        <v>141</v>
      </c>
    </row>
    <row r="278" spans="1:20" x14ac:dyDescent="0.35">
      <c r="A278" s="12">
        <v>2015</v>
      </c>
      <c r="B278" s="11">
        <v>23157328000</v>
      </c>
      <c r="C278" s="11"/>
      <c r="D278" s="11">
        <v>1008820000</v>
      </c>
      <c r="E278" s="11"/>
      <c r="F278" s="11"/>
      <c r="G278" s="11"/>
      <c r="H278" s="11"/>
      <c r="I278" s="11">
        <v>2744965000</v>
      </c>
      <c r="J278" s="11"/>
      <c r="K278" s="11"/>
      <c r="L278" s="11">
        <v>10470368000</v>
      </c>
      <c r="M278" s="11"/>
      <c r="N278" s="11">
        <v>11894190000</v>
      </c>
      <c r="O278" s="11"/>
      <c r="P278" s="10" t="s">
        <v>26</v>
      </c>
      <c r="Q278" s="11"/>
      <c r="R278" s="11">
        <v>0.51362531981237214</v>
      </c>
      <c r="S278" s="11" t="s">
        <v>129</v>
      </c>
      <c r="T278" s="10" t="s">
        <v>141</v>
      </c>
    </row>
    <row r="279" spans="1:20" x14ac:dyDescent="0.35">
      <c r="A279" s="12">
        <v>2016</v>
      </c>
      <c r="B279" s="11">
        <v>20704148000</v>
      </c>
      <c r="C279" s="11"/>
      <c r="D279" s="11">
        <v>856086000</v>
      </c>
      <c r="E279" s="11"/>
      <c r="F279" s="11"/>
      <c r="G279" s="11"/>
      <c r="H279" s="11"/>
      <c r="I279" s="11">
        <v>2425800000</v>
      </c>
      <c r="J279" s="11"/>
      <c r="K279" s="11"/>
      <c r="L279" s="11">
        <v>10229078000</v>
      </c>
      <c r="M279" s="11"/>
      <c r="N279" s="11">
        <v>9801072000</v>
      </c>
      <c r="O279" s="11"/>
      <c r="P279" s="10" t="s">
        <v>26</v>
      </c>
      <c r="Q279" s="11"/>
      <c r="R279" s="11">
        <v>0.47338687880322339</v>
      </c>
      <c r="S279" s="11" t="s">
        <v>129</v>
      </c>
      <c r="T279" s="10" t="s">
        <v>141</v>
      </c>
    </row>
    <row r="280" spans="1:20" x14ac:dyDescent="0.35">
      <c r="A280" s="12">
        <v>2017</v>
      </c>
      <c r="B280" s="11">
        <v>20570599000</v>
      </c>
      <c r="C280" s="11"/>
      <c r="D280" s="11">
        <v>847471000</v>
      </c>
      <c r="E280" s="11"/>
      <c r="F280" s="11"/>
      <c r="G280" s="11"/>
      <c r="H280" s="11"/>
      <c r="I280" s="11">
        <v>2471406000</v>
      </c>
      <c r="J280" s="11"/>
      <c r="K280" s="11"/>
      <c r="L280" s="11">
        <v>10242464000</v>
      </c>
      <c r="M280" s="11"/>
      <c r="N280" s="11">
        <v>9729781000</v>
      </c>
      <c r="O280" s="11"/>
      <c r="P280" s="10" t="s">
        <v>26</v>
      </c>
      <c r="Q280" s="11"/>
      <c r="R280" s="11">
        <v>0.47299453943951753</v>
      </c>
      <c r="S280" s="11" t="s">
        <v>129</v>
      </c>
      <c r="T280" s="10" t="s">
        <v>141</v>
      </c>
    </row>
    <row r="281" spans="1:20" x14ac:dyDescent="0.35">
      <c r="A281" s="12">
        <v>2018</v>
      </c>
      <c r="B281" s="11">
        <v>20394209000</v>
      </c>
      <c r="C281" s="11"/>
      <c r="D281" s="11">
        <v>858560000</v>
      </c>
      <c r="E281" s="11"/>
      <c r="F281" s="11"/>
      <c r="G281" s="11"/>
      <c r="H281" s="11"/>
      <c r="I281" s="11">
        <v>2578434000</v>
      </c>
      <c r="J281" s="11"/>
      <c r="K281" s="11"/>
      <c r="L281" s="11">
        <v>10173204000</v>
      </c>
      <c r="M281" s="11"/>
      <c r="N281" s="11">
        <v>9615454000</v>
      </c>
      <c r="O281" s="11"/>
      <c r="P281" s="10" t="s">
        <v>26</v>
      </c>
      <c r="Q281" s="11"/>
      <c r="R281" s="11">
        <v>0.47147962443652508</v>
      </c>
      <c r="S281" s="11" t="s">
        <v>129</v>
      </c>
      <c r="T281" s="10" t="s">
        <v>141</v>
      </c>
    </row>
    <row r="282" spans="1:20" x14ac:dyDescent="0.35">
      <c r="A282" s="12">
        <v>2019</v>
      </c>
      <c r="B282" s="11">
        <v>21172769000</v>
      </c>
      <c r="C282" s="11"/>
      <c r="D282" s="11">
        <v>1356544000</v>
      </c>
      <c r="E282" s="11"/>
      <c r="F282" s="11"/>
      <c r="G282" s="11"/>
      <c r="H282" s="11"/>
      <c r="I282" s="11">
        <v>2701075000</v>
      </c>
      <c r="J282" s="11"/>
      <c r="K282" s="11"/>
      <c r="L282" s="11">
        <v>10315506000</v>
      </c>
      <c r="M282" s="11"/>
      <c r="N282" s="11">
        <v>10164843000</v>
      </c>
      <c r="O282" s="11"/>
      <c r="P282" s="10" t="s">
        <v>26</v>
      </c>
      <c r="Q282" s="11"/>
      <c r="R282" s="11">
        <v>0.48009039346719362</v>
      </c>
      <c r="S282" s="11" t="s">
        <v>129</v>
      </c>
      <c r="T282" s="10" t="s">
        <v>141</v>
      </c>
    </row>
    <row r="283" spans="1:20" x14ac:dyDescent="0.35">
      <c r="A283" s="12">
        <v>2020</v>
      </c>
      <c r="B283" s="11">
        <v>20286891000</v>
      </c>
      <c r="C283" s="11"/>
      <c r="D283" s="11">
        <v>1317990000</v>
      </c>
      <c r="E283" s="11"/>
      <c r="F283" s="11"/>
      <c r="G283" s="11"/>
      <c r="H283" s="11"/>
      <c r="I283" s="11"/>
      <c r="J283" s="11"/>
      <c r="K283" s="11"/>
      <c r="L283" s="11">
        <v>10525651000</v>
      </c>
      <c r="M283" s="11"/>
      <c r="N283" s="11">
        <v>9184454000</v>
      </c>
      <c r="O283" s="11"/>
      <c r="P283" s="10" t="s">
        <v>26</v>
      </c>
      <c r="Q283" s="11"/>
      <c r="R283" s="11">
        <v>0.45272851320589241</v>
      </c>
      <c r="S283" s="11" t="s">
        <v>129</v>
      </c>
      <c r="T283" s="10" t="s">
        <v>141</v>
      </c>
    </row>
    <row r="284" spans="1:20" x14ac:dyDescent="0.35">
      <c r="A284" s="12">
        <v>2021</v>
      </c>
      <c r="B284" s="11">
        <v>21169241000</v>
      </c>
      <c r="C284" s="11"/>
      <c r="D284" s="11">
        <v>1675841000</v>
      </c>
      <c r="E284" s="11"/>
      <c r="F284" s="11"/>
      <c r="G284" s="11"/>
      <c r="H284" s="11"/>
      <c r="I284" s="11"/>
      <c r="J284" s="11"/>
      <c r="K284" s="11"/>
      <c r="L284" s="11">
        <v>10954948000</v>
      </c>
      <c r="M284" s="11"/>
      <c r="N284" s="11">
        <v>9483056000</v>
      </c>
      <c r="O284" s="11"/>
      <c r="P284" s="10" t="s">
        <v>26</v>
      </c>
      <c r="Q284" s="11"/>
      <c r="R284" s="11">
        <v>0.44796391141278991</v>
      </c>
      <c r="S284" s="11" t="s">
        <v>129</v>
      </c>
      <c r="T284" s="10" t="s">
        <v>141</v>
      </c>
    </row>
    <row r="285" spans="1:20" x14ac:dyDescent="0.35">
      <c r="A285" s="12">
        <v>2022</v>
      </c>
      <c r="B285" s="11">
        <v>20218262000</v>
      </c>
      <c r="C285" s="11"/>
      <c r="D285" s="11">
        <v>1116046000</v>
      </c>
      <c r="E285" s="11"/>
      <c r="F285" s="11"/>
      <c r="G285" s="11"/>
      <c r="H285" s="11"/>
      <c r="I285" s="11"/>
      <c r="J285" s="11"/>
      <c r="K285" s="11"/>
      <c r="L285" s="11">
        <v>11173439000</v>
      </c>
      <c r="M285" s="11"/>
      <c r="N285" s="11">
        <v>8517310000</v>
      </c>
      <c r="O285" s="11"/>
      <c r="P285" s="10" t="s">
        <v>26</v>
      </c>
      <c r="Q285" s="11"/>
      <c r="R285" s="11">
        <v>0.42126815845991122</v>
      </c>
      <c r="S285" s="11" t="s">
        <v>129</v>
      </c>
      <c r="T285" s="10" t="s">
        <v>141</v>
      </c>
    </row>
    <row r="286" spans="1:20" x14ac:dyDescent="0.35">
      <c r="A286" s="12">
        <v>2023</v>
      </c>
      <c r="B286" s="11">
        <v>20034564000</v>
      </c>
      <c r="C286" s="11"/>
      <c r="D286" s="11">
        <v>1160585000</v>
      </c>
      <c r="E286" s="11"/>
      <c r="F286" s="11"/>
      <c r="G286" s="11"/>
      <c r="H286" s="11"/>
      <c r="I286" s="11"/>
      <c r="J286" s="11"/>
      <c r="K286" s="11"/>
      <c r="L286" s="11">
        <v>11085828000</v>
      </c>
      <c r="M286" s="11"/>
      <c r="N286" s="11">
        <v>8456188000</v>
      </c>
      <c r="O286" s="11"/>
      <c r="P286" s="10" t="s">
        <v>26</v>
      </c>
      <c r="Q286" s="11"/>
      <c r="R286" s="11">
        <v>0.42207996141068999</v>
      </c>
      <c r="S286" s="11" t="s">
        <v>129</v>
      </c>
      <c r="T286" s="10" t="s">
        <v>141</v>
      </c>
    </row>
    <row r="287" spans="1:20" x14ac:dyDescent="0.35">
      <c r="A287" s="12">
        <v>2024</v>
      </c>
      <c r="B287" s="11">
        <v>20834176000</v>
      </c>
      <c r="C287" s="11"/>
      <c r="D287" s="11"/>
      <c r="E287" s="11"/>
      <c r="F287" s="11"/>
      <c r="G287" s="11"/>
      <c r="H287" s="11"/>
      <c r="I287" s="11"/>
      <c r="J287" s="11"/>
      <c r="K287" s="11"/>
      <c r="L287" s="11">
        <v>11044560000</v>
      </c>
      <c r="M287" s="11"/>
      <c r="N287" s="11">
        <v>9249829000</v>
      </c>
      <c r="O287" s="11"/>
      <c r="P287" s="10" t="s">
        <v>26</v>
      </c>
      <c r="Q287" s="11"/>
      <c r="R287" s="11">
        <v>0.44397383414635638</v>
      </c>
      <c r="S287" s="11" t="s">
        <v>129</v>
      </c>
      <c r="T287" s="10" t="s">
        <v>141</v>
      </c>
    </row>
    <row r="288" spans="1:20" x14ac:dyDescent="0.35">
      <c r="A288" s="12">
        <v>2012</v>
      </c>
      <c r="B288" s="11">
        <v>11160078000</v>
      </c>
      <c r="C288" s="11"/>
      <c r="D288" s="11">
        <v>708375000</v>
      </c>
      <c r="E288" s="11"/>
      <c r="F288" s="11">
        <v>136920000</v>
      </c>
      <c r="G288" s="11"/>
      <c r="H288" s="11"/>
      <c r="I288" s="11">
        <v>246032000</v>
      </c>
      <c r="J288" s="11"/>
      <c r="K288" s="11"/>
      <c r="L288" s="11">
        <v>6837215000</v>
      </c>
      <c r="M288" s="11"/>
      <c r="N288" s="11">
        <v>4312258000</v>
      </c>
      <c r="O288" s="11"/>
      <c r="P288" s="10" t="s">
        <v>26</v>
      </c>
      <c r="Q288" s="11"/>
      <c r="R288" s="11">
        <v>0.38640034594740291</v>
      </c>
      <c r="S288" s="11" t="s">
        <v>130</v>
      </c>
      <c r="T288" s="10" t="s">
        <v>141</v>
      </c>
    </row>
    <row r="289" spans="1:20" x14ac:dyDescent="0.35">
      <c r="A289" s="12">
        <v>2013</v>
      </c>
      <c r="B289" s="11">
        <v>15328143000</v>
      </c>
      <c r="C289" s="11"/>
      <c r="D289" s="11">
        <v>997446000</v>
      </c>
      <c r="E289" s="11"/>
      <c r="F289" s="11">
        <v>172402000</v>
      </c>
      <c r="G289" s="11"/>
      <c r="H289" s="11"/>
      <c r="I289" s="11">
        <v>301356000</v>
      </c>
      <c r="J289" s="11"/>
      <c r="K289" s="11"/>
      <c r="L289" s="11">
        <v>8596132000</v>
      </c>
      <c r="M289" s="11"/>
      <c r="N289" s="11">
        <v>6711096000</v>
      </c>
      <c r="O289" s="11"/>
      <c r="P289" s="10" t="s">
        <v>26</v>
      </c>
      <c r="Q289" s="11"/>
      <c r="R289" s="11">
        <v>0.43782837881927378</v>
      </c>
      <c r="S289" s="11" t="s">
        <v>130</v>
      </c>
      <c r="T289" s="10" t="s">
        <v>141</v>
      </c>
    </row>
    <row r="290" spans="1:20" x14ac:dyDescent="0.35">
      <c r="A290" s="12">
        <v>2014</v>
      </c>
      <c r="B290" s="11">
        <v>16176723000</v>
      </c>
      <c r="C290" s="11"/>
      <c r="D290" s="11">
        <v>1134096000</v>
      </c>
      <c r="E290" s="11"/>
      <c r="F290" s="11">
        <v>180618000</v>
      </c>
      <c r="G290" s="11"/>
      <c r="H290" s="11"/>
      <c r="I290" s="11">
        <v>400075000</v>
      </c>
      <c r="J290" s="11"/>
      <c r="K290" s="11"/>
      <c r="L290" s="11">
        <v>9046405000</v>
      </c>
      <c r="M290" s="11"/>
      <c r="N290" s="11">
        <v>7117553000</v>
      </c>
      <c r="O290" s="11"/>
      <c r="P290" s="10" t="s">
        <v>26</v>
      </c>
      <c r="Q290" s="11"/>
      <c r="R290" s="11">
        <v>0.43998732005239882</v>
      </c>
      <c r="S290" s="11" t="s">
        <v>130</v>
      </c>
      <c r="T290" s="10" t="s">
        <v>141</v>
      </c>
    </row>
    <row r="291" spans="1:20" x14ac:dyDescent="0.35">
      <c r="A291" s="12">
        <v>2015</v>
      </c>
      <c r="B291" s="11">
        <v>16931305000</v>
      </c>
      <c r="C291" s="11"/>
      <c r="D291" s="11">
        <v>1264205000</v>
      </c>
      <c r="E291" s="11"/>
      <c r="F291" s="11">
        <v>175615000</v>
      </c>
      <c r="G291" s="11"/>
      <c r="H291" s="11"/>
      <c r="I291" s="11">
        <v>442367000</v>
      </c>
      <c r="J291" s="11"/>
      <c r="K291" s="11"/>
      <c r="L291" s="11"/>
      <c r="M291" s="11"/>
      <c r="N291" s="11">
        <v>7080782000</v>
      </c>
      <c r="O291" s="11"/>
      <c r="P291" s="10" t="s">
        <v>26</v>
      </c>
      <c r="Q291" s="11"/>
      <c r="R291" s="11">
        <v>0.41820651154769228</v>
      </c>
      <c r="S291" s="11" t="s">
        <v>130</v>
      </c>
      <c r="T291" s="10" t="s">
        <v>141</v>
      </c>
    </row>
    <row r="292" spans="1:20" x14ac:dyDescent="0.35">
      <c r="A292" s="12">
        <v>2016</v>
      </c>
      <c r="B292" s="11">
        <v>17867271000</v>
      </c>
      <c r="C292" s="11"/>
      <c r="D292" s="11">
        <v>1410697000</v>
      </c>
      <c r="E292" s="11"/>
      <c r="F292" s="11">
        <v>187510000</v>
      </c>
      <c r="G292" s="11"/>
      <c r="H292" s="11"/>
      <c r="I292" s="11">
        <v>508498000</v>
      </c>
      <c r="J292" s="11"/>
      <c r="K292" s="11"/>
      <c r="L292" s="11"/>
      <c r="M292" s="11"/>
      <c r="N292" s="11">
        <v>7688089000</v>
      </c>
      <c r="O292" s="11"/>
      <c r="P292" s="10" t="s">
        <v>26</v>
      </c>
      <c r="Q292" s="11"/>
      <c r="R292" s="11">
        <v>0.43028893444331823</v>
      </c>
      <c r="S292" s="11" t="s">
        <v>130</v>
      </c>
      <c r="T292" s="10" t="s">
        <v>141</v>
      </c>
    </row>
    <row r="293" spans="1:20" x14ac:dyDescent="0.35">
      <c r="A293" s="12">
        <v>2017</v>
      </c>
      <c r="B293" s="11">
        <v>18414821000</v>
      </c>
      <c r="C293" s="11"/>
      <c r="D293" s="11">
        <v>1490068000</v>
      </c>
      <c r="E293" s="11"/>
      <c r="F293" s="11">
        <v>199661000</v>
      </c>
      <c r="G293" s="11"/>
      <c r="H293" s="11"/>
      <c r="I293" s="11">
        <v>522326000</v>
      </c>
      <c r="J293" s="11"/>
      <c r="K293" s="11"/>
      <c r="L293" s="11"/>
      <c r="M293" s="11"/>
      <c r="N293" s="11">
        <v>8020719000</v>
      </c>
      <c r="O293" s="11"/>
      <c r="P293" s="10" t="s">
        <v>26</v>
      </c>
      <c r="Q293" s="11"/>
      <c r="R293" s="11">
        <v>0.43555780422736662</v>
      </c>
      <c r="S293" s="11" t="s">
        <v>130</v>
      </c>
      <c r="T293" s="10" t="s">
        <v>141</v>
      </c>
    </row>
    <row r="294" spans="1:20" x14ac:dyDescent="0.35">
      <c r="A294" s="12">
        <v>2018</v>
      </c>
      <c r="B294" s="11">
        <v>18380200000</v>
      </c>
      <c r="C294" s="11"/>
      <c r="D294" s="11">
        <v>1539586000</v>
      </c>
      <c r="E294" s="11"/>
      <c r="F294" s="11">
        <v>220974000</v>
      </c>
      <c r="G294" s="11"/>
      <c r="H294" s="11"/>
      <c r="I294" s="11">
        <v>560792000</v>
      </c>
      <c r="J294" s="11"/>
      <c r="K294" s="11"/>
      <c r="L294" s="11">
        <v>10632606000</v>
      </c>
      <c r="M294" s="11"/>
      <c r="N294" s="11">
        <v>7744350000</v>
      </c>
      <c r="O294" s="11"/>
      <c r="P294" s="10" t="s">
        <v>26</v>
      </c>
      <c r="Q294" s="11"/>
      <c r="R294" s="11">
        <v>0.4213419875735846</v>
      </c>
      <c r="S294" s="11" t="s">
        <v>130</v>
      </c>
      <c r="T294" s="10" t="s">
        <v>141</v>
      </c>
    </row>
    <row r="295" spans="1:20" x14ac:dyDescent="0.35">
      <c r="A295" s="12">
        <v>2019</v>
      </c>
      <c r="B295" s="11">
        <v>19121051000</v>
      </c>
      <c r="C295" s="11"/>
      <c r="D295" s="11">
        <v>1627210000</v>
      </c>
      <c r="E295" s="11"/>
      <c r="F295" s="11">
        <v>203585000</v>
      </c>
      <c r="G295" s="11"/>
      <c r="H295" s="11"/>
      <c r="I295" s="11">
        <v>566184000</v>
      </c>
      <c r="J295" s="11"/>
      <c r="K295" s="11"/>
      <c r="L295" s="11">
        <v>10989549000</v>
      </c>
      <c r="M295" s="11"/>
      <c r="N295" s="11">
        <v>8127601000</v>
      </c>
      <c r="O295" s="11"/>
      <c r="P295" s="10" t="s">
        <v>26</v>
      </c>
      <c r="Q295" s="11"/>
      <c r="R295" s="11">
        <v>0.42506036932802488</v>
      </c>
      <c r="S295" s="11" t="s">
        <v>130</v>
      </c>
      <c r="T295" s="10" t="s">
        <v>141</v>
      </c>
    </row>
    <row r="296" spans="1:20" x14ac:dyDescent="0.35">
      <c r="A296" s="12">
        <v>2020</v>
      </c>
      <c r="B296" s="11">
        <v>19199144000</v>
      </c>
      <c r="C296" s="11"/>
      <c r="D296" s="11">
        <v>1547190000</v>
      </c>
      <c r="E296" s="11"/>
      <c r="F296" s="11">
        <v>214151000</v>
      </c>
      <c r="G296" s="11"/>
      <c r="H296" s="11"/>
      <c r="I296" s="11">
        <v>2301261000</v>
      </c>
      <c r="J296" s="11"/>
      <c r="K296" s="11"/>
      <c r="L296" s="11">
        <v>10751583000</v>
      </c>
      <c r="M296" s="11"/>
      <c r="N296" s="11">
        <v>8444293000</v>
      </c>
      <c r="O296" s="11"/>
      <c r="P296" s="10" t="s">
        <v>26</v>
      </c>
      <c r="Q296" s="11"/>
      <c r="R296" s="11">
        <v>0.43982653601639737</v>
      </c>
      <c r="S296" s="11" t="s">
        <v>130</v>
      </c>
      <c r="T296" s="10" t="s">
        <v>141</v>
      </c>
    </row>
    <row r="297" spans="1:20" x14ac:dyDescent="0.35">
      <c r="A297" s="12">
        <v>2021</v>
      </c>
      <c r="B297" s="11">
        <v>19902016000</v>
      </c>
      <c r="C297" s="11"/>
      <c r="D297" s="11">
        <v>1514678000</v>
      </c>
      <c r="E297" s="11"/>
      <c r="F297" s="11">
        <v>220415000</v>
      </c>
      <c r="G297" s="11"/>
      <c r="H297" s="11"/>
      <c r="I297" s="11">
        <v>2294850000</v>
      </c>
      <c r="J297" s="11"/>
      <c r="K297" s="11"/>
      <c r="L297" s="11">
        <v>10932527000</v>
      </c>
      <c r="M297" s="11"/>
      <c r="N297" s="11">
        <v>8965555000</v>
      </c>
      <c r="O297" s="11"/>
      <c r="P297" s="10" t="s">
        <v>26</v>
      </c>
      <c r="Q297" s="11"/>
      <c r="R297" s="11">
        <v>0.45048476496049439</v>
      </c>
      <c r="S297" s="11" t="s">
        <v>130</v>
      </c>
      <c r="T297" s="10" t="s">
        <v>141</v>
      </c>
    </row>
    <row r="298" spans="1:20" x14ac:dyDescent="0.35">
      <c r="A298" s="12">
        <v>2022</v>
      </c>
      <c r="B298" s="11">
        <v>20457764000</v>
      </c>
      <c r="C298" s="11"/>
      <c r="D298" s="11">
        <v>1765786000</v>
      </c>
      <c r="E298" s="11"/>
      <c r="F298" s="11">
        <v>230074000</v>
      </c>
      <c r="G298" s="11"/>
      <c r="H298" s="11"/>
      <c r="I298" s="11">
        <v>2593446000</v>
      </c>
      <c r="J298" s="11"/>
      <c r="K298" s="11"/>
      <c r="L298" s="11">
        <v>11253476000</v>
      </c>
      <c r="M298" s="11"/>
      <c r="N298" s="11">
        <v>9201526000</v>
      </c>
      <c r="O298" s="11"/>
      <c r="P298" s="10" t="s">
        <v>26</v>
      </c>
      <c r="Q298" s="11"/>
      <c r="R298" s="11">
        <v>0.4497816085863538</v>
      </c>
      <c r="S298" s="11" t="s">
        <v>130</v>
      </c>
      <c r="T298" s="10" t="s">
        <v>141</v>
      </c>
    </row>
    <row r="299" spans="1:20" x14ac:dyDescent="0.35">
      <c r="A299" s="12">
        <v>2023</v>
      </c>
      <c r="B299" s="11">
        <v>20678214000</v>
      </c>
      <c r="C299" s="11"/>
      <c r="D299" s="11">
        <v>1886748000</v>
      </c>
      <c r="E299" s="11"/>
      <c r="F299" s="11">
        <v>205992000</v>
      </c>
      <c r="G299" s="11"/>
      <c r="H299" s="11"/>
      <c r="I299" s="11">
        <v>2767909000</v>
      </c>
      <c r="J299" s="11"/>
      <c r="K299" s="11"/>
      <c r="L299" s="11">
        <v>11783241000</v>
      </c>
      <c r="M299" s="11"/>
      <c r="N299" s="11">
        <v>8893423000</v>
      </c>
      <c r="O299" s="11"/>
      <c r="P299" s="10" t="s">
        <v>26</v>
      </c>
      <c r="Q299" s="11"/>
      <c r="R299" s="11">
        <v>0.43008661192886388</v>
      </c>
      <c r="S299" s="11" t="s">
        <v>130</v>
      </c>
      <c r="T299" s="10" t="s">
        <v>141</v>
      </c>
    </row>
    <row r="300" spans="1:20" x14ac:dyDescent="0.35">
      <c r="A300" s="12">
        <v>2024</v>
      </c>
      <c r="B300" s="11">
        <v>21000737000</v>
      </c>
      <c r="C300" s="11"/>
      <c r="D300" s="11">
        <v>1974431000</v>
      </c>
      <c r="E300" s="11"/>
      <c r="F300" s="11">
        <v>226589000</v>
      </c>
      <c r="G300" s="11"/>
      <c r="H300" s="11"/>
      <c r="I300" s="11">
        <v>2913757000</v>
      </c>
      <c r="J300" s="11"/>
      <c r="K300" s="11"/>
      <c r="L300" s="11">
        <v>11941092000</v>
      </c>
      <c r="M300" s="11"/>
      <c r="N300" s="11">
        <v>9059645000</v>
      </c>
      <c r="O300" s="11"/>
      <c r="P300" s="10" t="s">
        <v>26</v>
      </c>
      <c r="Q300" s="11"/>
      <c r="R300" s="11">
        <v>0.43139652670284862</v>
      </c>
      <c r="S300" s="11" t="s">
        <v>130</v>
      </c>
      <c r="T300" s="10" t="s">
        <v>141</v>
      </c>
    </row>
    <row r="301" spans="1:20" x14ac:dyDescent="0.35">
      <c r="A301" s="12">
        <v>2012</v>
      </c>
      <c r="B301" s="11">
        <v>6888509000</v>
      </c>
      <c r="C301" s="11"/>
      <c r="D301" s="11">
        <v>-64739000</v>
      </c>
      <c r="E301" s="11">
        <v>684398000</v>
      </c>
      <c r="F301" s="11">
        <v>138792000</v>
      </c>
      <c r="G301" s="11"/>
      <c r="H301" s="11"/>
      <c r="I301" s="11">
        <v>729363000</v>
      </c>
      <c r="J301" s="11"/>
      <c r="K301" s="11"/>
      <c r="L301" s="11">
        <v>2992916000</v>
      </c>
      <c r="M301" s="11"/>
      <c r="N301" s="11">
        <v>3671259000</v>
      </c>
      <c r="O301" s="11"/>
      <c r="P301" s="10" t="s">
        <v>26</v>
      </c>
      <c r="Q301" s="11"/>
      <c r="R301" s="11">
        <v>0.53295408338727579</v>
      </c>
      <c r="S301" s="11" t="s">
        <v>131</v>
      </c>
      <c r="T301" s="10" t="s">
        <v>141</v>
      </c>
    </row>
    <row r="302" spans="1:20" x14ac:dyDescent="0.35">
      <c r="A302" s="12">
        <v>2013</v>
      </c>
      <c r="B302" s="11">
        <v>6807722000</v>
      </c>
      <c r="C302" s="11"/>
      <c r="D302" s="11">
        <v>116920000</v>
      </c>
      <c r="E302" s="11">
        <v>510845000</v>
      </c>
      <c r="F302" s="11">
        <v>126083000</v>
      </c>
      <c r="G302" s="11"/>
      <c r="H302" s="11"/>
      <c r="I302" s="11">
        <v>758926000</v>
      </c>
      <c r="J302" s="11"/>
      <c r="K302" s="11"/>
      <c r="L302" s="11">
        <v>2811648000</v>
      </c>
      <c r="M302" s="11"/>
      <c r="N302" s="11">
        <v>3777621000</v>
      </c>
      <c r="O302" s="11"/>
      <c r="P302" s="10" t="s">
        <v>26</v>
      </c>
      <c r="Q302" s="11"/>
      <c r="R302" s="11">
        <v>0.5549023594089183</v>
      </c>
      <c r="S302" s="11" t="s">
        <v>131</v>
      </c>
      <c r="T302" s="10" t="s">
        <v>141</v>
      </c>
    </row>
    <row r="303" spans="1:20" x14ac:dyDescent="0.35">
      <c r="A303" s="12">
        <v>2014</v>
      </c>
      <c r="B303" s="11">
        <v>6846534000</v>
      </c>
      <c r="C303" s="11"/>
      <c r="D303" s="11">
        <v>126764000</v>
      </c>
      <c r="E303" s="11">
        <v>674711000</v>
      </c>
      <c r="F303" s="11">
        <v>130454000</v>
      </c>
      <c r="G303" s="11"/>
      <c r="H303" s="11"/>
      <c r="I303" s="11">
        <v>818046000</v>
      </c>
      <c r="J303" s="11"/>
      <c r="K303" s="11"/>
      <c r="L303" s="11">
        <v>2735097000</v>
      </c>
      <c r="M303" s="11"/>
      <c r="N303" s="11">
        <v>3828104000</v>
      </c>
      <c r="O303" s="11"/>
      <c r="P303" s="10" t="s">
        <v>26</v>
      </c>
      <c r="Q303" s="11"/>
      <c r="R303" s="11">
        <v>0.55913021099435134</v>
      </c>
      <c r="S303" s="11" t="s">
        <v>131</v>
      </c>
      <c r="T303" s="10" t="s">
        <v>141</v>
      </c>
    </row>
    <row r="304" spans="1:20" x14ac:dyDescent="0.35">
      <c r="A304" s="12">
        <v>2015</v>
      </c>
      <c r="B304" s="11">
        <v>7663844000</v>
      </c>
      <c r="C304" s="11"/>
      <c r="D304" s="11">
        <v>159591000</v>
      </c>
      <c r="E304" s="11">
        <v>839649000</v>
      </c>
      <c r="F304" s="11">
        <v>121875000</v>
      </c>
      <c r="G304" s="11"/>
      <c r="H304" s="11"/>
      <c r="I304" s="11">
        <v>894638000</v>
      </c>
      <c r="J304" s="11"/>
      <c r="K304" s="11"/>
      <c r="L304" s="11">
        <v>2899755000</v>
      </c>
      <c r="M304" s="11"/>
      <c r="N304" s="11">
        <v>3816797000</v>
      </c>
      <c r="O304" s="11"/>
      <c r="P304" s="10" t="s">
        <v>26</v>
      </c>
      <c r="Q304" s="11"/>
      <c r="R304" s="11">
        <v>0.49802644730242418</v>
      </c>
      <c r="S304" s="11" t="s">
        <v>131</v>
      </c>
      <c r="T304" s="10" t="s">
        <v>141</v>
      </c>
    </row>
    <row r="305" spans="1:20" x14ac:dyDescent="0.35">
      <c r="A305" s="12">
        <v>2016</v>
      </c>
      <c r="B305" s="11">
        <v>7679584000</v>
      </c>
      <c r="C305" s="11"/>
      <c r="D305" s="11">
        <v>174622000</v>
      </c>
      <c r="E305" s="11">
        <v>837613000</v>
      </c>
      <c r="F305" s="11">
        <v>123031000</v>
      </c>
      <c r="G305" s="11"/>
      <c r="H305" s="11"/>
      <c r="I305" s="11">
        <v>959861000</v>
      </c>
      <c r="J305" s="11"/>
      <c r="K305" s="11"/>
      <c r="L305" s="11">
        <v>3093110000</v>
      </c>
      <c r="M305" s="11"/>
      <c r="N305" s="11">
        <v>3673132000</v>
      </c>
      <c r="O305" s="11"/>
      <c r="P305" s="10" t="s">
        <v>26</v>
      </c>
      <c r="Q305" s="11"/>
      <c r="R305" s="11">
        <v>0.47829830365811482</v>
      </c>
      <c r="S305" s="11" t="s">
        <v>131</v>
      </c>
      <c r="T305" s="10" t="s">
        <v>141</v>
      </c>
    </row>
    <row r="306" spans="1:20" x14ac:dyDescent="0.35">
      <c r="A306" s="12">
        <v>2017</v>
      </c>
      <c r="B306" s="11">
        <v>7733273000</v>
      </c>
      <c r="C306" s="11"/>
      <c r="D306" s="11">
        <v>184494000</v>
      </c>
      <c r="E306" s="11">
        <v>686491000</v>
      </c>
      <c r="F306" s="11">
        <v>128711000</v>
      </c>
      <c r="G306" s="11"/>
      <c r="H306" s="11"/>
      <c r="I306" s="11">
        <v>984309000</v>
      </c>
      <c r="J306" s="11"/>
      <c r="K306" s="11"/>
      <c r="L306" s="11">
        <v>2825800000</v>
      </c>
      <c r="M306" s="11"/>
      <c r="N306" s="11">
        <v>3949771000</v>
      </c>
      <c r="O306" s="11"/>
      <c r="P306" s="10" t="s">
        <v>26</v>
      </c>
      <c r="Q306" s="11"/>
      <c r="R306" s="11">
        <v>0.51075023473243475</v>
      </c>
      <c r="S306" s="11" t="s">
        <v>131</v>
      </c>
      <c r="T306" s="10" t="s">
        <v>141</v>
      </c>
    </row>
    <row r="307" spans="1:20" x14ac:dyDescent="0.35">
      <c r="A307" s="12">
        <v>2018</v>
      </c>
      <c r="B307" s="11">
        <v>7711728000</v>
      </c>
      <c r="C307" s="11"/>
      <c r="D307" s="11">
        <v>354718000</v>
      </c>
      <c r="E307" s="11">
        <v>773641000</v>
      </c>
      <c r="F307" s="11">
        <v>134168000</v>
      </c>
      <c r="G307" s="11"/>
      <c r="H307" s="11"/>
      <c r="I307" s="11">
        <v>1046859000</v>
      </c>
      <c r="J307" s="11"/>
      <c r="K307" s="11"/>
      <c r="L307" s="11">
        <v>2905625000</v>
      </c>
      <c r="M307" s="11"/>
      <c r="N307" s="11">
        <v>3816211000</v>
      </c>
      <c r="O307" s="11"/>
      <c r="P307" s="10" t="s">
        <v>26</v>
      </c>
      <c r="Q307" s="11"/>
      <c r="R307" s="11">
        <v>0.49485809146795628</v>
      </c>
      <c r="S307" s="11" t="s">
        <v>131</v>
      </c>
      <c r="T307" s="10" t="s">
        <v>141</v>
      </c>
    </row>
    <row r="308" spans="1:20" x14ac:dyDescent="0.35">
      <c r="A308" s="12">
        <v>2019</v>
      </c>
      <c r="B308" s="11">
        <v>9636472000</v>
      </c>
      <c r="C308" s="11"/>
      <c r="D308" s="11">
        <v>221057000</v>
      </c>
      <c r="E308" s="11">
        <v>867643000</v>
      </c>
      <c r="F308" s="11">
        <v>170917000</v>
      </c>
      <c r="G308" s="11"/>
      <c r="H308" s="11"/>
      <c r="I308" s="11">
        <v>1152193000</v>
      </c>
      <c r="J308" s="11"/>
      <c r="K308" s="11"/>
      <c r="L308" s="11">
        <v>3358542000</v>
      </c>
      <c r="M308" s="11"/>
      <c r="N308" s="11">
        <v>5228493000</v>
      </c>
      <c r="O308" s="11"/>
      <c r="P308" s="10" t="s">
        <v>26</v>
      </c>
      <c r="Q308" s="11"/>
      <c r="R308" s="11">
        <v>0.54257336087314945</v>
      </c>
      <c r="S308" s="11" t="s">
        <v>131</v>
      </c>
      <c r="T308" s="10" t="s">
        <v>141</v>
      </c>
    </row>
    <row r="309" spans="1:20" x14ac:dyDescent="0.35">
      <c r="A309" s="12">
        <v>2020</v>
      </c>
      <c r="B309" s="11">
        <v>9637533000</v>
      </c>
      <c r="C309" s="11"/>
      <c r="D309" s="11">
        <v>249103000</v>
      </c>
      <c r="E309" s="11">
        <v>888146000</v>
      </c>
      <c r="F309" s="11">
        <v>202706000</v>
      </c>
      <c r="G309" s="11"/>
      <c r="H309" s="11"/>
      <c r="I309" s="11">
        <v>1241165000</v>
      </c>
      <c r="J309" s="11"/>
      <c r="K309" s="11"/>
      <c r="L309" s="11">
        <v>3234200000</v>
      </c>
      <c r="M309" s="11"/>
      <c r="N309" s="11">
        <v>5522648000</v>
      </c>
      <c r="O309" s="11"/>
      <c r="P309" s="10" t="s">
        <v>26</v>
      </c>
      <c r="Q309" s="11"/>
      <c r="R309" s="11">
        <v>0.57303544382156724</v>
      </c>
      <c r="S309" s="11" t="s">
        <v>131</v>
      </c>
      <c r="T309" s="10" t="s">
        <v>141</v>
      </c>
    </row>
    <row r="310" spans="1:20" x14ac:dyDescent="0.35">
      <c r="A310" s="12">
        <v>2021</v>
      </c>
      <c r="B310" s="11">
        <v>10775220000</v>
      </c>
      <c r="C310" s="11"/>
      <c r="D310" s="11">
        <v>267968000</v>
      </c>
      <c r="E310" s="11">
        <v>957555000</v>
      </c>
      <c r="F310" s="11">
        <v>186267000</v>
      </c>
      <c r="G310" s="11"/>
      <c r="H310" s="11"/>
      <c r="I310" s="11">
        <v>1290767000</v>
      </c>
      <c r="J310" s="11"/>
      <c r="K310" s="11"/>
      <c r="L310" s="11">
        <v>3442874000</v>
      </c>
      <c r="M310" s="11"/>
      <c r="N310" s="11">
        <v>6001474000</v>
      </c>
      <c r="O310" s="11"/>
      <c r="P310" s="10" t="s">
        <v>26</v>
      </c>
      <c r="Q310" s="11"/>
      <c r="R310" s="11">
        <v>0.55696997369891288</v>
      </c>
      <c r="S310" s="11" t="s">
        <v>131</v>
      </c>
      <c r="T310" s="10" t="s">
        <v>141</v>
      </c>
    </row>
    <row r="311" spans="1:20" x14ac:dyDescent="0.35">
      <c r="A311" s="12">
        <v>2022</v>
      </c>
      <c r="B311" s="11">
        <v>11038470000</v>
      </c>
      <c r="C311" s="11"/>
      <c r="D311" s="11">
        <v>250814000</v>
      </c>
      <c r="E311" s="11">
        <v>922745000</v>
      </c>
      <c r="F311" s="11">
        <v>155900000</v>
      </c>
      <c r="G311" s="11"/>
      <c r="H311" s="11"/>
      <c r="I311" s="11">
        <v>1517386000</v>
      </c>
      <c r="J311" s="11"/>
      <c r="K311" s="11"/>
      <c r="L311" s="11">
        <v>4098085000</v>
      </c>
      <c r="M311" s="11"/>
      <c r="N311" s="11">
        <v>6100325000</v>
      </c>
      <c r="O311" s="11"/>
      <c r="P311" s="10" t="s">
        <v>26</v>
      </c>
      <c r="Q311" s="11"/>
      <c r="R311" s="11">
        <v>0.55264225929861654</v>
      </c>
      <c r="S311" s="11" t="s">
        <v>131</v>
      </c>
      <c r="T311" s="10" t="s">
        <v>141</v>
      </c>
    </row>
    <row r="312" spans="1:20" x14ac:dyDescent="0.35">
      <c r="A312" s="12">
        <v>2023</v>
      </c>
      <c r="B312" s="11">
        <v>11373242000</v>
      </c>
      <c r="C312" s="11"/>
      <c r="D312" s="11">
        <v>635008000</v>
      </c>
      <c r="E312" s="11">
        <v>1319163000</v>
      </c>
      <c r="F312" s="11">
        <v>180866000</v>
      </c>
      <c r="G312" s="11"/>
      <c r="H312" s="11"/>
      <c r="I312" s="11">
        <v>1627501000</v>
      </c>
      <c r="J312" s="11"/>
      <c r="K312" s="11"/>
      <c r="L312" s="11">
        <v>3991144000</v>
      </c>
      <c r="M312" s="11"/>
      <c r="N312" s="11">
        <v>6420801000</v>
      </c>
      <c r="O312" s="11"/>
      <c r="P312" s="10" t="s">
        <v>26</v>
      </c>
      <c r="Q312" s="11"/>
      <c r="R312" s="11">
        <v>0.56455327337622818</v>
      </c>
      <c r="S312" s="11" t="s">
        <v>131</v>
      </c>
      <c r="T312" s="10" t="s">
        <v>141</v>
      </c>
    </row>
    <row r="313" spans="1:20" x14ac:dyDescent="0.35">
      <c r="A313" s="12">
        <v>2024</v>
      </c>
      <c r="B313" s="11">
        <v>10897586000</v>
      </c>
      <c r="C313" s="11"/>
      <c r="D313" s="11">
        <v>284569000</v>
      </c>
      <c r="E313" s="11"/>
      <c r="F313" s="11"/>
      <c r="G313" s="11"/>
      <c r="H313" s="11"/>
      <c r="I313" s="11">
        <v>1671842000</v>
      </c>
      <c r="J313" s="11"/>
      <c r="K313" s="11"/>
      <c r="L313" s="11">
        <v>3443205000</v>
      </c>
      <c r="M313" s="11"/>
      <c r="N313" s="11">
        <v>6436691000</v>
      </c>
      <c r="O313" s="11"/>
      <c r="P313" s="10" t="s">
        <v>26</v>
      </c>
      <c r="Q313" s="11"/>
      <c r="R313" s="11">
        <v>0.59065292074776932</v>
      </c>
      <c r="S313" s="11" t="s">
        <v>131</v>
      </c>
      <c r="T313" s="10" t="s">
        <v>141</v>
      </c>
    </row>
    <row r="314" spans="1:20" x14ac:dyDescent="0.35">
      <c r="A314" s="12">
        <v>2012</v>
      </c>
      <c r="B314" s="11">
        <v>4847223000</v>
      </c>
      <c r="C314" s="11"/>
      <c r="D314" s="11">
        <v>168925000</v>
      </c>
      <c r="E314" s="11"/>
      <c r="F314" s="11">
        <v>100244000</v>
      </c>
      <c r="G314" s="11"/>
      <c r="H314" s="11"/>
      <c r="I314" s="11"/>
      <c r="J314" s="11"/>
      <c r="K314" s="11"/>
      <c r="L314" s="11">
        <v>1764804000</v>
      </c>
      <c r="M314" s="11"/>
      <c r="N314" s="11">
        <v>2962758000</v>
      </c>
      <c r="O314" s="11"/>
      <c r="P314" s="10" t="s">
        <v>26</v>
      </c>
      <c r="Q314" s="11"/>
      <c r="R314" s="11">
        <v>0.61122791338463278</v>
      </c>
      <c r="S314" s="11" t="s">
        <v>132</v>
      </c>
      <c r="T314" s="10" t="s">
        <v>141</v>
      </c>
    </row>
    <row r="315" spans="1:20" x14ac:dyDescent="0.35">
      <c r="A315" s="12">
        <v>2013</v>
      </c>
      <c r="B315" s="11">
        <v>5186839000</v>
      </c>
      <c r="C315" s="11"/>
      <c r="D315" s="11">
        <v>188705000</v>
      </c>
      <c r="E315" s="11"/>
      <c r="F315" s="11">
        <v>104600000</v>
      </c>
      <c r="G315" s="11"/>
      <c r="H315" s="11"/>
      <c r="I315" s="11"/>
      <c r="J315" s="11"/>
      <c r="K315" s="11"/>
      <c r="L315" s="11">
        <v>1884619000</v>
      </c>
      <c r="M315" s="11"/>
      <c r="N315" s="11">
        <v>3184252000</v>
      </c>
      <c r="O315" s="11"/>
      <c r="P315" s="10" t="s">
        <v>26</v>
      </c>
      <c r="Q315" s="11"/>
      <c r="R315" s="11">
        <v>0.61390993628296542</v>
      </c>
      <c r="S315" s="11" t="s">
        <v>132</v>
      </c>
      <c r="T315" s="10" t="s">
        <v>141</v>
      </c>
    </row>
    <row r="316" spans="1:20" x14ac:dyDescent="0.35">
      <c r="A316" s="12">
        <v>2014</v>
      </c>
      <c r="B316" s="11">
        <v>11562874000</v>
      </c>
      <c r="C316" s="11"/>
      <c r="D316" s="11">
        <v>201514000</v>
      </c>
      <c r="E316" s="11"/>
      <c r="F316" s="11">
        <v>164551000</v>
      </c>
      <c r="G316" s="11"/>
      <c r="H316" s="11"/>
      <c r="I316" s="11"/>
      <c r="J316" s="11"/>
      <c r="K316" s="11"/>
      <c r="L316" s="11">
        <v>6022672000</v>
      </c>
      <c r="M316" s="11"/>
      <c r="N316" s="11">
        <v>5403550000</v>
      </c>
      <c r="O316" s="11"/>
      <c r="P316" s="10" t="s">
        <v>26</v>
      </c>
      <c r="Q316" s="11"/>
      <c r="R316" s="11">
        <v>0.46731893818094011</v>
      </c>
      <c r="S316" s="11" t="s">
        <v>132</v>
      </c>
      <c r="T316" s="10" t="s">
        <v>141</v>
      </c>
    </row>
    <row r="317" spans="1:20" x14ac:dyDescent="0.35">
      <c r="A317" s="12">
        <v>2015</v>
      </c>
      <c r="B317" s="11">
        <v>12005091000</v>
      </c>
      <c r="C317" s="11"/>
      <c r="D317" s="11">
        <v>331174000</v>
      </c>
      <c r="E317" s="11"/>
      <c r="F317" s="11">
        <v>204827000</v>
      </c>
      <c r="G317" s="11"/>
      <c r="H317" s="11"/>
      <c r="I317" s="11"/>
      <c r="J317" s="11"/>
      <c r="K317" s="11"/>
      <c r="L317" s="11">
        <v>6237733000</v>
      </c>
      <c r="M317" s="11"/>
      <c r="N317" s="11">
        <v>5622616000</v>
      </c>
      <c r="O317" s="11"/>
      <c r="P317" s="10" t="s">
        <v>26</v>
      </c>
      <c r="Q317" s="11"/>
      <c r="R317" s="11">
        <v>0.46835263472804989</v>
      </c>
      <c r="S317" s="11" t="s">
        <v>132</v>
      </c>
      <c r="T317" s="10" t="s">
        <v>141</v>
      </c>
    </row>
    <row r="318" spans="1:20" x14ac:dyDescent="0.35">
      <c r="A318" s="12">
        <v>2016</v>
      </c>
      <c r="B318" s="11">
        <v>12217408000</v>
      </c>
      <c r="C318" s="11"/>
      <c r="D318" s="11">
        <v>420800000</v>
      </c>
      <c r="E318" s="11"/>
      <c r="F318" s="11">
        <v>219654000</v>
      </c>
      <c r="G318" s="11"/>
      <c r="H318" s="11"/>
      <c r="I318" s="11"/>
      <c r="J318" s="11"/>
      <c r="K318" s="11"/>
      <c r="L318" s="11">
        <v>6192178000</v>
      </c>
      <c r="M318" s="11"/>
      <c r="N318" s="11">
        <v>5880487000</v>
      </c>
      <c r="O318" s="11"/>
      <c r="P318" s="10" t="s">
        <v>26</v>
      </c>
      <c r="Q318" s="11"/>
      <c r="R318" s="11">
        <v>0.48132034225262837</v>
      </c>
      <c r="S318" s="11" t="s">
        <v>132</v>
      </c>
      <c r="T318" s="10" t="s">
        <v>141</v>
      </c>
    </row>
    <row r="319" spans="1:20" x14ac:dyDescent="0.35">
      <c r="A319" s="12">
        <v>2017</v>
      </c>
      <c r="B319" s="11">
        <v>12495706000</v>
      </c>
      <c r="C319" s="11"/>
      <c r="D319" s="11">
        <v>446522000</v>
      </c>
      <c r="E319" s="11"/>
      <c r="F319" s="11">
        <v>222894000</v>
      </c>
      <c r="G319" s="11"/>
      <c r="H319" s="11"/>
      <c r="I319" s="11">
        <v>1363899000</v>
      </c>
      <c r="J319" s="11"/>
      <c r="K319" s="11"/>
      <c r="L319" s="11">
        <v>6277406000</v>
      </c>
      <c r="M319" s="11"/>
      <c r="N319" s="11">
        <v>6059675000</v>
      </c>
      <c r="O319" s="11"/>
      <c r="P319" s="10" t="s">
        <v>26</v>
      </c>
      <c r="Q319" s="11"/>
      <c r="R319" s="11">
        <v>0.48494058679037422</v>
      </c>
      <c r="S319" s="11" t="s">
        <v>132</v>
      </c>
      <c r="T319" s="10" t="s">
        <v>141</v>
      </c>
    </row>
    <row r="320" spans="1:20" x14ac:dyDescent="0.35">
      <c r="A320" s="12">
        <v>2018</v>
      </c>
      <c r="B320" s="11">
        <v>12383596000</v>
      </c>
      <c r="C320" s="11"/>
      <c r="D320" s="11">
        <v>450128000</v>
      </c>
      <c r="E320" s="11"/>
      <c r="F320" s="11">
        <v>220492000</v>
      </c>
      <c r="G320" s="11"/>
      <c r="H320" s="11"/>
      <c r="I320" s="11">
        <v>1400053000</v>
      </c>
      <c r="J320" s="11"/>
      <c r="K320" s="11"/>
      <c r="L320" s="11">
        <v>6267073000</v>
      </c>
      <c r="M320" s="11"/>
      <c r="N320" s="11">
        <v>5954277000</v>
      </c>
      <c r="O320" s="11"/>
      <c r="P320" s="10" t="s">
        <v>26</v>
      </c>
      <c r="Q320" s="11"/>
      <c r="R320" s="11">
        <v>0.48081970697364479</v>
      </c>
      <c r="S320" s="11" t="s">
        <v>132</v>
      </c>
      <c r="T320" s="10" t="s">
        <v>141</v>
      </c>
    </row>
    <row r="321" spans="1:20" x14ac:dyDescent="0.35">
      <c r="A321" s="12">
        <v>2019</v>
      </c>
      <c r="B321" s="11">
        <v>12705405000</v>
      </c>
      <c r="C321" s="11"/>
      <c r="D321" s="11">
        <v>481112000</v>
      </c>
      <c r="E321" s="11"/>
      <c r="F321" s="11">
        <v>217339000</v>
      </c>
      <c r="G321" s="11"/>
      <c r="H321" s="11"/>
      <c r="I321" s="11">
        <v>1460155000</v>
      </c>
      <c r="J321" s="11"/>
      <c r="K321" s="11"/>
      <c r="L321" s="11">
        <v>6220427000</v>
      </c>
      <c r="M321" s="11"/>
      <c r="N321" s="11">
        <v>6264491000</v>
      </c>
      <c r="O321" s="11"/>
      <c r="P321" s="10" t="s">
        <v>26</v>
      </c>
      <c r="Q321" s="11"/>
      <c r="R321" s="11">
        <v>0.49305716740237721</v>
      </c>
      <c r="S321" s="11" t="s">
        <v>132</v>
      </c>
      <c r="T321" s="10" t="s">
        <v>141</v>
      </c>
    </row>
    <row r="322" spans="1:20" x14ac:dyDescent="0.35">
      <c r="A322" s="12">
        <v>2020</v>
      </c>
      <c r="B322" s="11">
        <v>12936177000</v>
      </c>
      <c r="C322" s="11"/>
      <c r="D322" s="11">
        <v>491441000</v>
      </c>
      <c r="E322" s="11"/>
      <c r="F322" s="11">
        <v>220633000</v>
      </c>
      <c r="G322" s="11"/>
      <c r="H322" s="11"/>
      <c r="I322" s="11">
        <v>1495748000</v>
      </c>
      <c r="J322" s="11"/>
      <c r="K322" s="11"/>
      <c r="L322" s="11">
        <v>6000410000</v>
      </c>
      <c r="M322" s="11"/>
      <c r="N322" s="11">
        <v>6720746000</v>
      </c>
      <c r="O322" s="11"/>
      <c r="P322" s="10" t="s">
        <v>26</v>
      </c>
      <c r="Q322" s="11"/>
      <c r="R322" s="11">
        <v>0.51953107939076593</v>
      </c>
      <c r="S322" s="11" t="s">
        <v>132</v>
      </c>
      <c r="T322" s="10" t="s">
        <v>141</v>
      </c>
    </row>
    <row r="323" spans="1:20" x14ac:dyDescent="0.35">
      <c r="A323" s="12">
        <v>2021</v>
      </c>
      <c r="B323" s="11">
        <v>12997873000</v>
      </c>
      <c r="C323" s="11"/>
      <c r="D323" s="11">
        <v>529995000</v>
      </c>
      <c r="E323" s="11"/>
      <c r="F323" s="11">
        <v>203125000</v>
      </c>
      <c r="G323" s="11"/>
      <c r="H323" s="11"/>
      <c r="I323" s="11">
        <v>1440556000</v>
      </c>
      <c r="J323" s="11"/>
      <c r="K323" s="11"/>
      <c r="L323" s="11">
        <v>5993603000</v>
      </c>
      <c r="M323" s="11"/>
      <c r="N323" s="11">
        <v>6786699000</v>
      </c>
      <c r="O323" s="11"/>
      <c r="P323" s="10" t="s">
        <v>26</v>
      </c>
      <c r="Q323" s="11"/>
      <c r="R323" s="11">
        <v>0.52213919923667507</v>
      </c>
      <c r="S323" s="11" t="s">
        <v>132</v>
      </c>
      <c r="T323" s="10" t="s">
        <v>141</v>
      </c>
    </row>
    <row r="324" spans="1:20" x14ac:dyDescent="0.35">
      <c r="A324" s="12">
        <v>2022</v>
      </c>
      <c r="B324" s="11">
        <v>12372905000</v>
      </c>
      <c r="C324" s="11"/>
      <c r="D324" s="11">
        <v>595229000</v>
      </c>
      <c r="E324" s="11"/>
      <c r="F324" s="11">
        <v>204798000</v>
      </c>
      <c r="G324" s="11"/>
      <c r="H324" s="11"/>
      <c r="I324" s="11">
        <v>1606814000</v>
      </c>
      <c r="J324" s="11"/>
      <c r="K324" s="11"/>
      <c r="L324" s="11">
        <v>5716372000</v>
      </c>
      <c r="M324" s="11"/>
      <c r="N324" s="11">
        <v>6450639000</v>
      </c>
      <c r="O324" s="11"/>
      <c r="P324" s="10" t="s">
        <v>26</v>
      </c>
      <c r="Q324" s="11"/>
      <c r="R324" s="11">
        <v>0.52135201878621062</v>
      </c>
      <c r="S324" s="11" t="s">
        <v>132</v>
      </c>
      <c r="T324" s="10" t="s">
        <v>141</v>
      </c>
    </row>
    <row r="325" spans="1:20" x14ac:dyDescent="0.35">
      <c r="A325" s="12">
        <v>2023</v>
      </c>
      <c r="B325" s="11">
        <v>12361427000</v>
      </c>
      <c r="C325" s="11"/>
      <c r="D325" s="11">
        <v>584342000</v>
      </c>
      <c r="E325" s="11"/>
      <c r="F325" s="11">
        <v>212905000</v>
      </c>
      <c r="G325" s="11"/>
      <c r="H325" s="11"/>
      <c r="I325" s="11">
        <v>1669395000</v>
      </c>
      <c r="J325" s="11"/>
      <c r="K325" s="11"/>
      <c r="L325" s="11">
        <v>5422746000</v>
      </c>
      <c r="M325" s="11"/>
      <c r="N325" s="11">
        <v>6735244000</v>
      </c>
      <c r="O325" s="11"/>
      <c r="P325" s="10" t="s">
        <v>26</v>
      </c>
      <c r="Q325" s="11"/>
      <c r="R325" s="11">
        <v>0.54485974798864245</v>
      </c>
      <c r="S325" s="11" t="s">
        <v>132</v>
      </c>
      <c r="T325" s="10" t="s">
        <v>141</v>
      </c>
    </row>
    <row r="326" spans="1:20" x14ac:dyDescent="0.35">
      <c r="A326" s="12">
        <v>2024</v>
      </c>
      <c r="B326" s="11">
        <v>12927359000</v>
      </c>
      <c r="C326" s="11"/>
      <c r="D326" s="11">
        <v>703095000</v>
      </c>
      <c r="E326" s="11"/>
      <c r="F326" s="11"/>
      <c r="G326" s="11"/>
      <c r="H326" s="11"/>
      <c r="I326" s="11">
        <v>1774450000</v>
      </c>
      <c r="J326" s="11"/>
      <c r="K326" s="11"/>
      <c r="L326" s="11">
        <v>5537046000</v>
      </c>
      <c r="M326" s="11"/>
      <c r="N326" s="11">
        <v>7176120000</v>
      </c>
      <c r="O326" s="11"/>
      <c r="P326" s="10" t="s">
        <v>26</v>
      </c>
      <c r="Q326" s="11"/>
      <c r="R326" s="11">
        <v>0.55511106328833293</v>
      </c>
      <c r="S326" s="11" t="s">
        <v>132</v>
      </c>
      <c r="T326" s="10" t="s">
        <v>141</v>
      </c>
    </row>
    <row r="327" spans="1:20" x14ac:dyDescent="0.35">
      <c r="A327" s="12">
        <v>2012</v>
      </c>
      <c r="B327" s="11">
        <v>2751068000</v>
      </c>
      <c r="C327" s="11"/>
      <c r="D327" s="11">
        <v>29963000</v>
      </c>
      <c r="E327" s="11"/>
      <c r="F327" s="11">
        <v>14110000</v>
      </c>
      <c r="G327" s="11"/>
      <c r="H327" s="11"/>
      <c r="I327" s="11">
        <v>116286000</v>
      </c>
      <c r="J327" s="11"/>
      <c r="K327" s="11"/>
      <c r="L327" s="11">
        <v>914052000</v>
      </c>
      <c r="M327" s="11"/>
      <c r="N327" s="11">
        <v>1801245000</v>
      </c>
      <c r="O327" s="11"/>
      <c r="P327" s="10" t="s">
        <v>26</v>
      </c>
      <c r="Q327" s="11"/>
      <c r="R327" s="11">
        <v>0.6547439030950889</v>
      </c>
      <c r="S327" s="11" t="s">
        <v>133</v>
      </c>
      <c r="T327" s="10" t="s">
        <v>141</v>
      </c>
    </row>
    <row r="328" spans="1:20" x14ac:dyDescent="0.35">
      <c r="A328" s="12">
        <v>2013</v>
      </c>
      <c r="B328" s="11">
        <v>6841925000</v>
      </c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0" t="s">
        <v>26</v>
      </c>
      <c r="Q328" s="11"/>
      <c r="R328" s="11"/>
      <c r="S328" s="11" t="s">
        <v>133</v>
      </c>
      <c r="T328" s="10" t="s">
        <v>141</v>
      </c>
    </row>
    <row r="329" spans="1:20" x14ac:dyDescent="0.35">
      <c r="A329" s="12">
        <v>2017</v>
      </c>
      <c r="B329" s="11"/>
      <c r="C329" s="11"/>
      <c r="D329" s="11"/>
      <c r="E329" s="11">
        <v>980289000</v>
      </c>
      <c r="F329" s="11">
        <v>154751000</v>
      </c>
      <c r="G329" s="11"/>
      <c r="H329" s="11"/>
      <c r="I329" s="11">
        <v>1528987000</v>
      </c>
      <c r="J329" s="11"/>
      <c r="K329" s="11"/>
      <c r="L329" s="11"/>
      <c r="M329" s="11"/>
      <c r="N329" s="11"/>
      <c r="O329" s="11"/>
      <c r="P329" s="10" t="s">
        <v>26</v>
      </c>
      <c r="Q329" s="11"/>
      <c r="R329" s="11"/>
      <c r="S329" s="11" t="s">
        <v>133</v>
      </c>
      <c r="T329" s="10" t="s">
        <v>141</v>
      </c>
    </row>
    <row r="330" spans="1:20" x14ac:dyDescent="0.35">
      <c r="A330" s="12">
        <v>2018</v>
      </c>
      <c r="B330" s="11">
        <v>11323781000</v>
      </c>
      <c r="C330" s="11"/>
      <c r="D330" s="11"/>
      <c r="E330" s="11">
        <v>890099000</v>
      </c>
      <c r="F330" s="11">
        <v>173594000</v>
      </c>
      <c r="G330" s="11"/>
      <c r="H330" s="11"/>
      <c r="I330" s="11">
        <v>1571346000</v>
      </c>
      <c r="J330" s="11"/>
      <c r="K330" s="11"/>
      <c r="L330" s="11">
        <v>6149840000</v>
      </c>
      <c r="M330" s="11"/>
      <c r="N330" s="11">
        <v>4942178000</v>
      </c>
      <c r="O330" s="11"/>
      <c r="P330" s="10" t="s">
        <v>26</v>
      </c>
      <c r="Q330" s="11"/>
      <c r="R330" s="11">
        <v>0.43644238616059422</v>
      </c>
      <c r="S330" s="11" t="s">
        <v>133</v>
      </c>
      <c r="T330" s="10" t="s">
        <v>141</v>
      </c>
    </row>
    <row r="331" spans="1:20" x14ac:dyDescent="0.35">
      <c r="A331" s="12">
        <v>2019</v>
      </c>
      <c r="B331" s="11">
        <v>11230450000</v>
      </c>
      <c r="C331" s="11"/>
      <c r="D331" s="11"/>
      <c r="E331" s="11">
        <v>1035144000</v>
      </c>
      <c r="F331" s="11">
        <v>179847000</v>
      </c>
      <c r="G331" s="11"/>
      <c r="H331" s="11"/>
      <c r="I331" s="11">
        <v>1641017000</v>
      </c>
      <c r="J331" s="11"/>
      <c r="K331" s="11"/>
      <c r="L331" s="11">
        <v>6068565000</v>
      </c>
      <c r="M331" s="11"/>
      <c r="N331" s="11">
        <v>4926860000</v>
      </c>
      <c r="O331" s="11"/>
      <c r="P331" s="10" t="s">
        <v>26</v>
      </c>
      <c r="Q331" s="11"/>
      <c r="R331" s="11">
        <v>0.43870548375176421</v>
      </c>
      <c r="S331" s="11" t="s">
        <v>133</v>
      </c>
      <c r="T331" s="10" t="s">
        <v>141</v>
      </c>
    </row>
    <row r="332" spans="1:20" x14ac:dyDescent="0.35">
      <c r="A332" s="12">
        <v>2020</v>
      </c>
      <c r="B332" s="11">
        <v>11194791000</v>
      </c>
      <c r="C332" s="11"/>
      <c r="D332" s="11"/>
      <c r="E332" s="11">
        <v>937529000</v>
      </c>
      <c r="F332" s="11">
        <v>167562000</v>
      </c>
      <c r="G332" s="11"/>
      <c r="H332" s="11"/>
      <c r="I332" s="11">
        <v>1677984000</v>
      </c>
      <c r="J332" s="11"/>
      <c r="K332" s="11"/>
      <c r="L332" s="11">
        <v>5871633000</v>
      </c>
      <c r="M332" s="11"/>
      <c r="N332" s="11">
        <v>5090986000</v>
      </c>
      <c r="O332" s="11"/>
      <c r="P332" s="10" t="s">
        <v>26</v>
      </c>
      <c r="Q332" s="11"/>
      <c r="R332" s="11">
        <v>0.45476382721213821</v>
      </c>
      <c r="S332" s="11" t="s">
        <v>133</v>
      </c>
      <c r="T332" s="10" t="s">
        <v>141</v>
      </c>
    </row>
    <row r="333" spans="1:20" x14ac:dyDescent="0.35">
      <c r="A333" s="12">
        <v>2021</v>
      </c>
      <c r="B333" s="11">
        <v>11285182000</v>
      </c>
      <c r="C333" s="11"/>
      <c r="D333" s="11"/>
      <c r="E333" s="11">
        <v>1238724000</v>
      </c>
      <c r="F333" s="11">
        <v>156881000</v>
      </c>
      <c r="G333" s="11"/>
      <c r="H333" s="11"/>
      <c r="I333" s="11">
        <v>1778082000</v>
      </c>
      <c r="J333" s="11"/>
      <c r="K333" s="11"/>
      <c r="L333" s="11">
        <v>5965177000</v>
      </c>
      <c r="M333" s="11"/>
      <c r="N333" s="11">
        <v>5101090000</v>
      </c>
      <c r="O333" s="11"/>
      <c r="P333" s="10" t="s">
        <v>26</v>
      </c>
      <c r="Q333" s="11"/>
      <c r="R333" s="11">
        <v>0.45201663562005467</v>
      </c>
      <c r="S333" s="11" t="s">
        <v>133</v>
      </c>
      <c r="T333" s="10" t="s">
        <v>141</v>
      </c>
    </row>
    <row r="334" spans="1:20" x14ac:dyDescent="0.35">
      <c r="A334" s="12">
        <v>2022</v>
      </c>
      <c r="B334" s="11">
        <v>11241165000</v>
      </c>
      <c r="C334" s="11"/>
      <c r="D334" s="11"/>
      <c r="E334" s="11">
        <v>1329979000</v>
      </c>
      <c r="F334" s="11">
        <v>154747000</v>
      </c>
      <c r="G334" s="11"/>
      <c r="H334" s="11"/>
      <c r="I334" s="11">
        <v>2019866000</v>
      </c>
      <c r="J334" s="11"/>
      <c r="K334" s="11"/>
      <c r="L334" s="11">
        <v>6005089000</v>
      </c>
      <c r="M334" s="11"/>
      <c r="N334" s="11">
        <v>5030746000</v>
      </c>
      <c r="O334" s="11"/>
      <c r="P334" s="10" t="s">
        <v>26</v>
      </c>
      <c r="Q334" s="11"/>
      <c r="R334" s="11">
        <v>0.44752888157054899</v>
      </c>
      <c r="S334" s="11" t="s">
        <v>133</v>
      </c>
      <c r="T334" s="10" t="s">
        <v>141</v>
      </c>
    </row>
    <row r="335" spans="1:20" x14ac:dyDescent="0.35">
      <c r="A335" s="12">
        <v>2023</v>
      </c>
      <c r="B335" s="11">
        <v>11484503000</v>
      </c>
      <c r="C335" s="11"/>
      <c r="D335" s="11"/>
      <c r="E335" s="11">
        <v>1272641000</v>
      </c>
      <c r="F335" s="11">
        <v>149234000</v>
      </c>
      <c r="G335" s="11"/>
      <c r="H335" s="11"/>
      <c r="I335" s="11">
        <v>2148468000</v>
      </c>
      <c r="J335" s="11"/>
      <c r="K335" s="11"/>
      <c r="L335" s="11">
        <v>6094071000</v>
      </c>
      <c r="M335" s="11"/>
      <c r="N335" s="11">
        <v>5185381000</v>
      </c>
      <c r="O335" s="11"/>
      <c r="P335" s="10" t="s">
        <v>26</v>
      </c>
      <c r="Q335" s="11"/>
      <c r="R335" s="11">
        <v>0.45151113635479051</v>
      </c>
      <c r="S335" s="11" t="s">
        <v>133</v>
      </c>
      <c r="T335" s="10" t="s">
        <v>141</v>
      </c>
    </row>
    <row r="336" spans="1:20" x14ac:dyDescent="0.35">
      <c r="A336" s="12">
        <v>2024</v>
      </c>
      <c r="B336" s="11">
        <v>11812369000</v>
      </c>
      <c r="C336" s="11"/>
      <c r="D336" s="11"/>
      <c r="E336" s="11">
        <v>1287729000</v>
      </c>
      <c r="F336" s="11">
        <v>168544000</v>
      </c>
      <c r="G336" s="11"/>
      <c r="H336" s="11"/>
      <c r="I336" s="11">
        <v>2191015000</v>
      </c>
      <c r="J336" s="11"/>
      <c r="K336" s="11"/>
      <c r="L336" s="11">
        <v>5942131000</v>
      </c>
      <c r="M336" s="11"/>
      <c r="N336" s="11">
        <v>5664705000</v>
      </c>
      <c r="O336" s="11"/>
      <c r="P336" s="10" t="s">
        <v>26</v>
      </c>
      <c r="Q336" s="11"/>
      <c r="R336" s="11">
        <v>0.47955706429421568</v>
      </c>
      <c r="S336" s="11" t="s">
        <v>133</v>
      </c>
      <c r="T336" s="10" t="s">
        <v>141</v>
      </c>
    </row>
    <row r="337" spans="1:20" x14ac:dyDescent="0.35">
      <c r="A337" s="12">
        <v>2012</v>
      </c>
      <c r="B337" s="11">
        <v>27310145000</v>
      </c>
      <c r="C337" s="11"/>
      <c r="D337" s="11">
        <v>85589000</v>
      </c>
      <c r="E337" s="11">
        <v>1238803000</v>
      </c>
      <c r="F337" s="11">
        <v>507484000</v>
      </c>
      <c r="G337" s="11"/>
      <c r="H337" s="11"/>
      <c r="I337" s="11"/>
      <c r="J337" s="11"/>
      <c r="K337" s="11"/>
      <c r="L337" s="11">
        <v>13069017000</v>
      </c>
      <c r="M337" s="11"/>
      <c r="N337" s="11">
        <v>13536809000</v>
      </c>
      <c r="O337" s="11"/>
      <c r="P337" s="10" t="s">
        <v>26</v>
      </c>
      <c r="Q337" s="11"/>
      <c r="R337" s="11">
        <v>0.49566961288561451</v>
      </c>
      <c r="S337" s="11" t="s">
        <v>134</v>
      </c>
      <c r="T337" s="10" t="s">
        <v>141</v>
      </c>
    </row>
    <row r="338" spans="1:20" x14ac:dyDescent="0.35">
      <c r="A338" s="12">
        <v>2013</v>
      </c>
      <c r="B338" s="11">
        <v>24572307000</v>
      </c>
      <c r="C338" s="11"/>
      <c r="D338" s="11">
        <v>97039000</v>
      </c>
      <c r="E338" s="11">
        <v>1492988000</v>
      </c>
      <c r="F338" s="11">
        <v>379327000</v>
      </c>
      <c r="G338" s="11"/>
      <c r="H338" s="11"/>
      <c r="I338" s="11"/>
      <c r="J338" s="11"/>
      <c r="K338" s="11"/>
      <c r="L338" s="11">
        <v>13711158000</v>
      </c>
      <c r="M338" s="11"/>
      <c r="N338" s="11">
        <v>10395854000</v>
      </c>
      <c r="O338" s="11"/>
      <c r="P338" s="10" t="s">
        <v>26</v>
      </c>
      <c r="Q338" s="11"/>
      <c r="R338" s="11">
        <v>0.42307195657290142</v>
      </c>
      <c r="S338" s="11" t="s">
        <v>134</v>
      </c>
      <c r="T338" s="10" t="s">
        <v>141</v>
      </c>
    </row>
    <row r="339" spans="1:20" x14ac:dyDescent="0.35">
      <c r="A339" s="12">
        <v>2014</v>
      </c>
      <c r="B339" s="11">
        <v>25818223000</v>
      </c>
      <c r="C339" s="11"/>
      <c r="D339" s="11">
        <v>71466000</v>
      </c>
      <c r="E339" s="11">
        <v>1613185000</v>
      </c>
      <c r="F339" s="11">
        <v>308885000</v>
      </c>
      <c r="G339" s="11"/>
      <c r="H339" s="11"/>
      <c r="I339" s="11"/>
      <c r="J339" s="11"/>
      <c r="K339" s="11"/>
      <c r="L339" s="11">
        <v>13975509000</v>
      </c>
      <c r="M339" s="11"/>
      <c r="N339" s="11">
        <v>10634624000</v>
      </c>
      <c r="O339" s="11"/>
      <c r="P339" s="10" t="s">
        <v>26</v>
      </c>
      <c r="Q339" s="11"/>
      <c r="R339" s="11">
        <v>0.41190379368866709</v>
      </c>
      <c r="S339" s="11" t="s">
        <v>134</v>
      </c>
      <c r="T339" s="10" t="s">
        <v>141</v>
      </c>
    </row>
    <row r="340" spans="1:20" x14ac:dyDescent="0.35">
      <c r="A340" s="12">
        <v>2015</v>
      </c>
      <c r="B340" s="11">
        <v>31394767000</v>
      </c>
      <c r="C340" s="11"/>
      <c r="D340" s="11">
        <v>83881000</v>
      </c>
      <c r="E340" s="11">
        <v>2074265000</v>
      </c>
      <c r="F340" s="11">
        <v>301363000</v>
      </c>
      <c r="G340" s="11"/>
      <c r="H340" s="11"/>
      <c r="I340" s="11"/>
      <c r="J340" s="11"/>
      <c r="K340" s="11"/>
      <c r="L340" s="11">
        <v>14667935000</v>
      </c>
      <c r="M340" s="11"/>
      <c r="N340" s="11">
        <v>12973931000</v>
      </c>
      <c r="O340" s="11"/>
      <c r="P340" s="10" t="s">
        <v>26</v>
      </c>
      <c r="Q340" s="11"/>
      <c r="R340" s="11">
        <v>0.41325138676773743</v>
      </c>
      <c r="S340" s="11" t="s">
        <v>134</v>
      </c>
      <c r="T340" s="10" t="s">
        <v>141</v>
      </c>
    </row>
    <row r="341" spans="1:20" x14ac:dyDescent="0.35">
      <c r="A341" s="12">
        <v>2016</v>
      </c>
      <c r="B341" s="11">
        <v>30249932000</v>
      </c>
      <c r="C341" s="11"/>
      <c r="D341" s="11">
        <v>129198000</v>
      </c>
      <c r="E341" s="11"/>
      <c r="F341" s="11">
        <v>303146000</v>
      </c>
      <c r="G341" s="11"/>
      <c r="H341" s="11"/>
      <c r="I341" s="11">
        <v>2533135000</v>
      </c>
      <c r="J341" s="11"/>
      <c r="K341" s="11"/>
      <c r="L341" s="11">
        <v>14991081000</v>
      </c>
      <c r="M341" s="11"/>
      <c r="N341" s="11">
        <v>11791792000</v>
      </c>
      <c r="O341" s="11"/>
      <c r="P341" s="10" t="s">
        <v>26</v>
      </c>
      <c r="Q341" s="11"/>
      <c r="R341" s="11">
        <v>0.38981218205713652</v>
      </c>
      <c r="S341" s="11" t="s">
        <v>134</v>
      </c>
      <c r="T341" s="10" t="s">
        <v>141</v>
      </c>
    </row>
    <row r="342" spans="1:20" x14ac:dyDescent="0.35">
      <c r="A342" s="12">
        <v>2017</v>
      </c>
      <c r="B342" s="11">
        <v>29481075000</v>
      </c>
      <c r="C342" s="11"/>
      <c r="D342" s="11">
        <v>161886000</v>
      </c>
      <c r="E342" s="11"/>
      <c r="F342" s="11">
        <v>274486000</v>
      </c>
      <c r="G342" s="11"/>
      <c r="H342" s="11"/>
      <c r="I342" s="11">
        <v>629155000</v>
      </c>
      <c r="J342" s="11"/>
      <c r="K342" s="11"/>
      <c r="L342" s="11">
        <v>15631158000</v>
      </c>
      <c r="M342" s="11"/>
      <c r="N342" s="11">
        <v>10775334000</v>
      </c>
      <c r="O342" s="11"/>
      <c r="P342" s="10" t="s">
        <v>26</v>
      </c>
      <c r="Q342" s="11"/>
      <c r="R342" s="11">
        <v>0.36550003688807142</v>
      </c>
      <c r="S342" s="11" t="s">
        <v>134</v>
      </c>
      <c r="T342" s="10" t="s">
        <v>141</v>
      </c>
    </row>
    <row r="343" spans="1:20" x14ac:dyDescent="0.35">
      <c r="A343" s="12">
        <v>2018</v>
      </c>
      <c r="B343" s="11">
        <v>38417664000</v>
      </c>
      <c r="C343" s="11"/>
      <c r="D343" s="11">
        <v>237107000</v>
      </c>
      <c r="E343" s="11"/>
      <c r="F343" s="11">
        <v>229141000</v>
      </c>
      <c r="G343" s="11"/>
      <c r="H343" s="11"/>
      <c r="I343" s="11">
        <v>693656000</v>
      </c>
      <c r="J343" s="11"/>
      <c r="K343" s="11"/>
      <c r="L343" s="11">
        <v>22298093000</v>
      </c>
      <c r="M343" s="11"/>
      <c r="N343" s="11">
        <v>12616776000</v>
      </c>
      <c r="O343" s="11"/>
      <c r="P343" s="10" t="s">
        <v>26</v>
      </c>
      <c r="Q343" s="11"/>
      <c r="R343" s="11">
        <v>0.32841080602922662</v>
      </c>
      <c r="S343" s="11" t="s">
        <v>134</v>
      </c>
      <c r="T343" s="10" t="s">
        <v>141</v>
      </c>
    </row>
    <row r="344" spans="1:20" x14ac:dyDescent="0.35">
      <c r="A344" s="12">
        <v>2019</v>
      </c>
      <c r="B344" s="11">
        <v>40031850000</v>
      </c>
      <c r="C344" s="11"/>
      <c r="D344" s="11">
        <v>376590000</v>
      </c>
      <c r="E344" s="11"/>
      <c r="F344" s="11">
        <v>239953000</v>
      </c>
      <c r="G344" s="11"/>
      <c r="H344" s="11"/>
      <c r="I344" s="11">
        <v>772052000</v>
      </c>
      <c r="J344" s="11"/>
      <c r="K344" s="11"/>
      <c r="L344" s="11">
        <v>22653127000</v>
      </c>
      <c r="M344" s="11"/>
      <c r="N344" s="11">
        <v>13960066000</v>
      </c>
      <c r="O344" s="11"/>
      <c r="P344" s="10" t="s">
        <v>26</v>
      </c>
      <c r="Q344" s="11"/>
      <c r="R344" s="11">
        <v>0.3487239785320938</v>
      </c>
      <c r="S344" s="11" t="s">
        <v>134</v>
      </c>
      <c r="T344" s="10" t="s">
        <v>141</v>
      </c>
    </row>
    <row r="345" spans="1:20" x14ac:dyDescent="0.35">
      <c r="A345" s="12">
        <v>2020</v>
      </c>
      <c r="B345" s="11">
        <v>56065005000</v>
      </c>
      <c r="C345" s="11"/>
      <c r="D345" s="11">
        <v>468057000</v>
      </c>
      <c r="E345" s="11"/>
      <c r="F345" s="11">
        <v>314507000</v>
      </c>
      <c r="G345" s="11"/>
      <c r="H345" s="11"/>
      <c r="I345" s="11">
        <v>978241000</v>
      </c>
      <c r="J345" s="11"/>
      <c r="K345" s="11"/>
      <c r="L345" s="11">
        <v>31971547000</v>
      </c>
      <c r="M345" s="11"/>
      <c r="N345" s="11">
        <v>19740425000</v>
      </c>
      <c r="O345" s="11"/>
      <c r="P345" s="10" t="s">
        <v>26</v>
      </c>
      <c r="Q345" s="11"/>
      <c r="R345" s="11">
        <v>0.35209887165799769</v>
      </c>
      <c r="S345" s="11" t="s">
        <v>134</v>
      </c>
      <c r="T345" s="10" t="s">
        <v>141</v>
      </c>
    </row>
    <row r="346" spans="1:20" x14ac:dyDescent="0.35">
      <c r="A346" s="12">
        <v>2021</v>
      </c>
      <c r="B346" s="11">
        <v>58486220000</v>
      </c>
      <c r="C346" s="11"/>
      <c r="D346" s="11">
        <v>532197000</v>
      </c>
      <c r="E346" s="11"/>
      <c r="F346" s="11">
        <v>266228000</v>
      </c>
      <c r="G346" s="11"/>
      <c r="H346" s="11"/>
      <c r="I346" s="11">
        <v>1148316000</v>
      </c>
      <c r="J346" s="11"/>
      <c r="K346" s="11"/>
      <c r="L346" s="11">
        <v>33426873000</v>
      </c>
      <c r="M346" s="11"/>
      <c r="N346" s="11">
        <v>20744010000</v>
      </c>
      <c r="O346" s="11"/>
      <c r="P346" s="10" t="s">
        <v>26</v>
      </c>
      <c r="Q346" s="11"/>
      <c r="R346" s="11">
        <v>0.35468200885610318</v>
      </c>
      <c r="S346" s="11" t="s">
        <v>134</v>
      </c>
      <c r="T346" s="10" t="s">
        <v>141</v>
      </c>
    </row>
    <row r="347" spans="1:20" x14ac:dyDescent="0.35">
      <c r="A347" s="12">
        <v>2022</v>
      </c>
      <c r="B347" s="11">
        <v>87897448000</v>
      </c>
      <c r="C347" s="11"/>
      <c r="D347" s="11">
        <v>1205802000</v>
      </c>
      <c r="E347" s="11"/>
      <c r="F347" s="11">
        <v>309037000</v>
      </c>
      <c r="G347" s="11"/>
      <c r="H347" s="11"/>
      <c r="I347" s="11">
        <v>1219128000</v>
      </c>
      <c r="J347" s="11"/>
      <c r="K347" s="11"/>
      <c r="L347" s="11">
        <v>53237282000</v>
      </c>
      <c r="M347" s="11"/>
      <c r="N347" s="11">
        <v>30034355000</v>
      </c>
      <c r="O347" s="11"/>
      <c r="P347" s="10" t="s">
        <v>26</v>
      </c>
      <c r="Q347" s="11"/>
      <c r="R347" s="11">
        <v>0.34169769069973449</v>
      </c>
      <c r="S347" s="11" t="s">
        <v>134</v>
      </c>
      <c r="T347" s="10" t="s">
        <v>141</v>
      </c>
    </row>
    <row r="348" spans="1:20" x14ac:dyDescent="0.35">
      <c r="A348" s="12">
        <v>2023</v>
      </c>
      <c r="B348" s="11">
        <v>93020840000</v>
      </c>
      <c r="C348" s="11"/>
      <c r="D348" s="11">
        <v>579043000</v>
      </c>
      <c r="E348" s="11"/>
      <c r="F348" s="11">
        <v>641332000</v>
      </c>
      <c r="G348" s="11"/>
      <c r="H348" s="11"/>
      <c r="I348" s="11">
        <v>1768587000</v>
      </c>
      <c r="J348" s="11"/>
      <c r="K348" s="11"/>
      <c r="L348" s="11">
        <v>53181724000</v>
      </c>
      <c r="M348" s="11"/>
      <c r="N348" s="11">
        <v>35197120000</v>
      </c>
      <c r="O348" s="11"/>
      <c r="P348" s="10" t="s">
        <v>26</v>
      </c>
      <c r="Q348" s="11"/>
      <c r="R348" s="11">
        <v>0.37837886649916302</v>
      </c>
      <c r="S348" s="11" t="s">
        <v>134</v>
      </c>
      <c r="T348" s="10" t="s">
        <v>141</v>
      </c>
    </row>
    <row r="349" spans="1:20" x14ac:dyDescent="0.35">
      <c r="A349" s="12">
        <v>2024</v>
      </c>
      <c r="B349" s="11">
        <v>95328909000</v>
      </c>
      <c r="C349" s="11"/>
      <c r="D349" s="11">
        <v>720355000</v>
      </c>
      <c r="E349" s="11"/>
      <c r="F349" s="11">
        <v>863932000</v>
      </c>
      <c r="G349" s="11"/>
      <c r="H349" s="11"/>
      <c r="I349" s="11">
        <v>1956621000</v>
      </c>
      <c r="J349" s="11"/>
      <c r="K349" s="11"/>
      <c r="L349" s="11">
        <v>53951138000</v>
      </c>
      <c r="M349" s="11"/>
      <c r="N349" s="11">
        <v>36712139000</v>
      </c>
      <c r="O349" s="11"/>
      <c r="P349" s="10" t="s">
        <v>26</v>
      </c>
      <c r="Q349" s="11"/>
      <c r="R349" s="11">
        <v>0.38511023974899372</v>
      </c>
      <c r="S349" s="11" t="s">
        <v>134</v>
      </c>
      <c r="T349" s="10" t="s">
        <v>141</v>
      </c>
    </row>
    <row r="350" spans="1:20" x14ac:dyDescent="0.35">
      <c r="A350" s="12">
        <v>2012</v>
      </c>
      <c r="B350" s="11">
        <v>5443363000</v>
      </c>
      <c r="C350" s="11"/>
      <c r="D350" s="11"/>
      <c r="E350" s="11">
        <v>432721000</v>
      </c>
      <c r="F350" s="11">
        <v>122542000</v>
      </c>
      <c r="G350" s="11"/>
      <c r="H350" s="11"/>
      <c r="I350" s="11"/>
      <c r="J350" s="11"/>
      <c r="K350" s="11"/>
      <c r="L350" s="11">
        <v>2412794000</v>
      </c>
      <c r="M350" s="11"/>
      <c r="N350" s="11">
        <v>3030569000</v>
      </c>
      <c r="O350" s="11"/>
      <c r="P350" s="10" t="s">
        <v>26</v>
      </c>
      <c r="Q350" s="11"/>
      <c r="R350" s="11">
        <v>0.55674571032650222</v>
      </c>
      <c r="S350" s="11" t="s">
        <v>135</v>
      </c>
      <c r="T350" s="10" t="s">
        <v>141</v>
      </c>
    </row>
    <row r="351" spans="1:20" x14ac:dyDescent="0.35">
      <c r="A351" s="12">
        <v>2013</v>
      </c>
      <c r="B351" s="11">
        <v>9924441000</v>
      </c>
      <c r="C351" s="11"/>
      <c r="D351" s="11"/>
      <c r="E351" s="11">
        <v>735791000</v>
      </c>
      <c r="F351" s="11">
        <v>180916000</v>
      </c>
      <c r="G351" s="11"/>
      <c r="H351" s="11"/>
      <c r="I351" s="11"/>
      <c r="J351" s="11"/>
      <c r="K351" s="11"/>
      <c r="L351" s="11">
        <v>5385447000</v>
      </c>
      <c r="M351" s="11"/>
      <c r="N351" s="11">
        <v>4503083000</v>
      </c>
      <c r="O351" s="11"/>
      <c r="P351" s="10" t="s">
        <v>26</v>
      </c>
      <c r="Q351" s="11"/>
      <c r="R351" s="11">
        <v>0.45373668904878373</v>
      </c>
      <c r="S351" s="11" t="s">
        <v>135</v>
      </c>
      <c r="T351" s="10" t="s">
        <v>141</v>
      </c>
    </row>
    <row r="352" spans="1:20" x14ac:dyDescent="0.35">
      <c r="A352" s="12">
        <v>2014</v>
      </c>
      <c r="B352" s="11">
        <v>11012622000</v>
      </c>
      <c r="C352" s="11"/>
      <c r="D352" s="11"/>
      <c r="E352" s="11">
        <v>865123000</v>
      </c>
      <c r="F352" s="11">
        <v>216366000</v>
      </c>
      <c r="G352" s="11"/>
      <c r="H352" s="11"/>
      <c r="I352" s="11"/>
      <c r="J352" s="11"/>
      <c r="K352" s="11"/>
      <c r="L352" s="11">
        <v>5613401000</v>
      </c>
      <c r="M352" s="11"/>
      <c r="N352" s="11">
        <v>5371523000</v>
      </c>
      <c r="O352" s="11"/>
      <c r="P352" s="10" t="s">
        <v>26</v>
      </c>
      <c r="Q352" s="11"/>
      <c r="R352" s="11">
        <v>0.48776058962161778</v>
      </c>
      <c r="S352" s="11" t="s">
        <v>135</v>
      </c>
      <c r="T352" s="10" t="s">
        <v>141</v>
      </c>
    </row>
    <row r="353" spans="1:20" x14ac:dyDescent="0.35">
      <c r="A353" s="12">
        <v>2015</v>
      </c>
      <c r="B353" s="11">
        <v>11865870000</v>
      </c>
      <c r="C353" s="11"/>
      <c r="D353" s="11"/>
      <c r="E353" s="11">
        <v>929229000</v>
      </c>
      <c r="F353" s="11">
        <v>233079000</v>
      </c>
      <c r="G353" s="11"/>
      <c r="H353" s="11"/>
      <c r="I353" s="11"/>
      <c r="J353" s="11"/>
      <c r="K353" s="11"/>
      <c r="L353" s="11">
        <v>6531596000</v>
      </c>
      <c r="M353" s="11"/>
      <c r="N353" s="11">
        <v>5312537000</v>
      </c>
      <c r="O353" s="11"/>
      <c r="P353" s="10" t="s">
        <v>26</v>
      </c>
      <c r="Q353" s="11"/>
      <c r="R353" s="11">
        <v>0.44771575956925203</v>
      </c>
      <c r="S353" s="11" t="s">
        <v>135</v>
      </c>
      <c r="T353" s="10" t="s">
        <v>141</v>
      </c>
    </row>
    <row r="354" spans="1:20" x14ac:dyDescent="0.35">
      <c r="A354" s="12">
        <v>2016</v>
      </c>
      <c r="B354" s="11">
        <v>13152871000</v>
      </c>
      <c r="C354" s="11"/>
      <c r="D354" s="11"/>
      <c r="E354" s="11">
        <v>988750000</v>
      </c>
      <c r="F354" s="11">
        <v>219974000</v>
      </c>
      <c r="G354" s="11"/>
      <c r="H354" s="11"/>
      <c r="I354" s="11"/>
      <c r="J354" s="11"/>
      <c r="K354" s="11"/>
      <c r="L354" s="11">
        <v>6766804000</v>
      </c>
      <c r="M354" s="11"/>
      <c r="N354" s="11">
        <v>6365818000</v>
      </c>
      <c r="O354" s="11"/>
      <c r="P354" s="10" t="s">
        <v>26</v>
      </c>
      <c r="Q354" s="11"/>
      <c r="R354" s="11">
        <v>0.48398695615580811</v>
      </c>
      <c r="S354" s="11" t="s">
        <v>135</v>
      </c>
      <c r="T354" s="10" t="s">
        <v>141</v>
      </c>
    </row>
    <row r="355" spans="1:20" x14ac:dyDescent="0.35">
      <c r="A355" s="12">
        <v>2017</v>
      </c>
      <c r="B355" s="11">
        <v>14058166000</v>
      </c>
      <c r="C355" s="11"/>
      <c r="D355" s="11"/>
      <c r="E355" s="11">
        <v>1071043000</v>
      </c>
      <c r="F355" s="11">
        <v>247413000</v>
      </c>
      <c r="G355" s="11"/>
      <c r="H355" s="11"/>
      <c r="I355" s="11">
        <v>1215768000</v>
      </c>
      <c r="J355" s="11"/>
      <c r="K355" s="11"/>
      <c r="L355" s="11">
        <v>7371501000</v>
      </c>
      <c r="M355" s="11"/>
      <c r="N355" s="11">
        <v>6667458000</v>
      </c>
      <c r="O355" s="11"/>
      <c r="P355" s="10" t="s">
        <v>26</v>
      </c>
      <c r="Q355" s="11"/>
      <c r="R355" s="11">
        <v>0.47427651658118142</v>
      </c>
      <c r="S355" s="11" t="s">
        <v>135</v>
      </c>
      <c r="T355" s="10" t="s">
        <v>141</v>
      </c>
    </row>
    <row r="356" spans="1:20" x14ac:dyDescent="0.35">
      <c r="A356" s="12">
        <v>2018</v>
      </c>
      <c r="B356" s="11">
        <v>15260483000</v>
      </c>
      <c r="C356" s="11"/>
      <c r="D356" s="11"/>
      <c r="E356" s="11">
        <v>559472000</v>
      </c>
      <c r="F356" s="11">
        <v>59415000</v>
      </c>
      <c r="G356" s="11"/>
      <c r="H356" s="11"/>
      <c r="I356" s="11">
        <v>318295000</v>
      </c>
      <c r="J356" s="11"/>
      <c r="K356" s="11"/>
      <c r="L356" s="11">
        <v>8088742000</v>
      </c>
      <c r="M356" s="11"/>
      <c r="N356" s="11">
        <v>7139505000</v>
      </c>
      <c r="O356" s="11"/>
      <c r="P356" s="10" t="s">
        <v>26</v>
      </c>
      <c r="Q356" s="11"/>
      <c r="R356" s="11">
        <v>0.46784266264704732</v>
      </c>
      <c r="S356" s="11" t="s">
        <v>135</v>
      </c>
      <c r="T356" s="10" t="s">
        <v>141</v>
      </c>
    </row>
    <row r="357" spans="1:20" x14ac:dyDescent="0.35">
      <c r="A357" s="12">
        <v>2019</v>
      </c>
      <c r="B357" s="11">
        <v>18554796000</v>
      </c>
      <c r="C357" s="11"/>
      <c r="D357" s="11"/>
      <c r="E357" s="11">
        <v>324637000</v>
      </c>
      <c r="F357" s="11">
        <v>70020000</v>
      </c>
      <c r="G357" s="11"/>
      <c r="H357" s="11"/>
      <c r="I357" s="11">
        <v>354365000</v>
      </c>
      <c r="J357" s="11"/>
      <c r="K357" s="11"/>
      <c r="L357" s="11">
        <v>9774456000</v>
      </c>
      <c r="M357" s="11"/>
      <c r="N357" s="11">
        <v>8750638000</v>
      </c>
      <c r="O357" s="11"/>
      <c r="P357" s="10" t="s">
        <v>26</v>
      </c>
      <c r="Q357" s="11"/>
      <c r="R357" s="11">
        <v>0.47161057443045989</v>
      </c>
      <c r="S357" s="11" t="s">
        <v>135</v>
      </c>
      <c r="T357" s="10" t="s">
        <v>141</v>
      </c>
    </row>
    <row r="358" spans="1:20" x14ac:dyDescent="0.35">
      <c r="A358" s="12">
        <v>2020</v>
      </c>
      <c r="B358" s="11">
        <v>20740285000</v>
      </c>
      <c r="C358" s="11"/>
      <c r="D358" s="11"/>
      <c r="E358" s="11">
        <v>402030000</v>
      </c>
      <c r="F358" s="11">
        <v>75925000</v>
      </c>
      <c r="G358" s="11"/>
      <c r="H358" s="11"/>
      <c r="I358" s="11">
        <v>414341000</v>
      </c>
      <c r="J358" s="11"/>
      <c r="K358" s="11"/>
      <c r="L358" s="11">
        <v>10985483000</v>
      </c>
      <c r="M358" s="11"/>
      <c r="N358" s="11">
        <v>9722555000</v>
      </c>
      <c r="O358" s="11"/>
      <c r="P358" s="10" t="s">
        <v>26</v>
      </c>
      <c r="Q358" s="11"/>
      <c r="R358" s="11">
        <v>0.46877634516594152</v>
      </c>
      <c r="S358" s="11" t="s">
        <v>135</v>
      </c>
      <c r="T358" s="10" t="s">
        <v>141</v>
      </c>
    </row>
    <row r="359" spans="1:20" x14ac:dyDescent="0.35">
      <c r="A359" s="12">
        <v>2021</v>
      </c>
      <c r="B359" s="11">
        <v>43137502000</v>
      </c>
      <c r="C359" s="11"/>
      <c r="D359" s="11"/>
      <c r="E359" s="11">
        <v>1612592000</v>
      </c>
      <c r="F359" s="11">
        <v>323644000</v>
      </c>
      <c r="G359" s="11"/>
      <c r="H359" s="11"/>
      <c r="I359" s="11">
        <v>2080463000</v>
      </c>
      <c r="J359" s="11"/>
      <c r="K359" s="11"/>
      <c r="L359" s="11">
        <v>25052574000</v>
      </c>
      <c r="M359" s="11"/>
      <c r="N359" s="11">
        <v>18008102000</v>
      </c>
      <c r="O359" s="11"/>
      <c r="P359" s="10" t="s">
        <v>26</v>
      </c>
      <c r="Q359" s="11"/>
      <c r="R359" s="11">
        <v>0.41745815508742262</v>
      </c>
      <c r="S359" s="11" t="s">
        <v>135</v>
      </c>
      <c r="T359" s="10" t="s">
        <v>141</v>
      </c>
    </row>
    <row r="360" spans="1:20" x14ac:dyDescent="0.35">
      <c r="A360" s="12">
        <v>2022</v>
      </c>
      <c r="B360" s="11">
        <v>49673092000</v>
      </c>
      <c r="C360" s="11"/>
      <c r="D360" s="11"/>
      <c r="E360" s="11">
        <v>3050203000</v>
      </c>
      <c r="F360" s="11">
        <v>465223000</v>
      </c>
      <c r="G360" s="11"/>
      <c r="H360" s="11"/>
      <c r="I360" s="11">
        <v>3343681000</v>
      </c>
      <c r="J360" s="11"/>
      <c r="K360" s="11"/>
      <c r="L360" s="11">
        <v>28713149000</v>
      </c>
      <c r="M360" s="11"/>
      <c r="N360" s="11">
        <v>20829803000</v>
      </c>
      <c r="O360" s="11"/>
      <c r="P360" s="10" t="s">
        <v>26</v>
      </c>
      <c r="Q360" s="11"/>
      <c r="R360" s="11">
        <v>0.419337757351606</v>
      </c>
      <c r="S360" s="11" t="s">
        <v>135</v>
      </c>
      <c r="T360" s="10" t="s">
        <v>141</v>
      </c>
    </row>
    <row r="361" spans="1:20" x14ac:dyDescent="0.35">
      <c r="A361" s="12">
        <v>2023</v>
      </c>
      <c r="B361" s="11">
        <v>57779357000</v>
      </c>
      <c r="C361" s="11"/>
      <c r="D361" s="11"/>
      <c r="E361" s="11">
        <v>3549930000</v>
      </c>
      <c r="F361" s="11">
        <v>730423000</v>
      </c>
      <c r="G361" s="11"/>
      <c r="H361" s="11"/>
      <c r="I361" s="11">
        <v>4078993000</v>
      </c>
      <c r="J361" s="11"/>
      <c r="K361" s="11"/>
      <c r="L361" s="11">
        <v>32941467000</v>
      </c>
      <c r="M361" s="11"/>
      <c r="N361" s="11">
        <v>24672388000</v>
      </c>
      <c r="O361" s="11"/>
      <c r="P361" s="10" t="s">
        <v>26</v>
      </c>
      <c r="Q361" s="11"/>
      <c r="R361" s="11">
        <v>0.42701042865534139</v>
      </c>
      <c r="S361" s="11" t="s">
        <v>135</v>
      </c>
      <c r="T361" s="10" t="s">
        <v>141</v>
      </c>
    </row>
    <row r="362" spans="1:20" x14ac:dyDescent="0.35">
      <c r="A362" s="12">
        <v>2024</v>
      </c>
      <c r="B362" s="11">
        <v>68835039000</v>
      </c>
      <c r="C362" s="11"/>
      <c r="D362" s="11"/>
      <c r="E362" s="11"/>
      <c r="F362" s="11"/>
      <c r="G362" s="11"/>
      <c r="H362" s="11"/>
      <c r="I362" s="11">
        <v>5271142000</v>
      </c>
      <c r="J362" s="11"/>
      <c r="K362" s="11"/>
      <c r="L362" s="11">
        <v>38840738000</v>
      </c>
      <c r="M362" s="11"/>
      <c r="N362" s="11">
        <v>29783353000</v>
      </c>
      <c r="O362" s="11"/>
      <c r="P362" s="10" t="s">
        <v>26</v>
      </c>
      <c r="Q362" s="11"/>
      <c r="R362" s="11">
        <v>0.43267721545127619</v>
      </c>
      <c r="S362" s="11" t="s">
        <v>135</v>
      </c>
      <c r="T362" s="10" t="s">
        <v>141</v>
      </c>
    </row>
    <row r="363" spans="1:20" x14ac:dyDescent="0.35">
      <c r="A363" s="12">
        <v>2012</v>
      </c>
      <c r="B363" s="11">
        <v>3898565000</v>
      </c>
      <c r="C363" s="11"/>
      <c r="D363" s="11">
        <v>60547000</v>
      </c>
      <c r="E363" s="11"/>
      <c r="F363" s="11">
        <v>113336000</v>
      </c>
      <c r="G363" s="11"/>
      <c r="H363" s="11"/>
      <c r="I363" s="11">
        <v>146289000</v>
      </c>
      <c r="J363" s="11"/>
      <c r="K363" s="11"/>
      <c r="L363" s="11">
        <v>1286812000</v>
      </c>
      <c r="M363" s="11"/>
      <c r="N363" s="11">
        <v>2493552000</v>
      </c>
      <c r="O363" s="11"/>
      <c r="P363" s="10" t="s">
        <v>26</v>
      </c>
      <c r="Q363" s="11"/>
      <c r="R363" s="11">
        <v>0.63960765050730206</v>
      </c>
      <c r="S363" s="11" t="s">
        <v>136</v>
      </c>
      <c r="T363" s="10" t="s">
        <v>141</v>
      </c>
    </row>
    <row r="364" spans="1:20" x14ac:dyDescent="0.35">
      <c r="A364" s="12">
        <v>2013</v>
      </c>
      <c r="B364" s="11">
        <v>4219294000</v>
      </c>
      <c r="C364" s="11"/>
      <c r="D364" s="11">
        <v>62502000</v>
      </c>
      <c r="E364" s="11"/>
      <c r="F364" s="11">
        <v>104977000</v>
      </c>
      <c r="G364" s="11"/>
      <c r="H364" s="11"/>
      <c r="I364" s="11">
        <v>157150000</v>
      </c>
      <c r="J364" s="11"/>
      <c r="K364" s="11"/>
      <c r="L364" s="11">
        <v>1448160000</v>
      </c>
      <c r="M364" s="11"/>
      <c r="N364" s="11">
        <v>2643572000</v>
      </c>
      <c r="O364" s="11"/>
      <c r="P364" s="10" t="s">
        <v>26</v>
      </c>
      <c r="Q364" s="11"/>
      <c r="R364" s="11">
        <v>0.62654368242649128</v>
      </c>
      <c r="S364" s="11" t="s">
        <v>136</v>
      </c>
      <c r="T364" s="10" t="s">
        <v>141</v>
      </c>
    </row>
    <row r="365" spans="1:20" x14ac:dyDescent="0.35">
      <c r="A365" s="12">
        <v>2014</v>
      </c>
      <c r="B365" s="11">
        <v>4546870000</v>
      </c>
      <c r="C365" s="11"/>
      <c r="D365" s="11">
        <v>63444000</v>
      </c>
      <c r="E365" s="11"/>
      <c r="F365" s="11">
        <v>93941000</v>
      </c>
      <c r="G365" s="11"/>
      <c r="H365" s="11"/>
      <c r="I365" s="11">
        <v>170828000</v>
      </c>
      <c r="J365" s="11"/>
      <c r="K365" s="11"/>
      <c r="L365" s="11">
        <v>1604401000</v>
      </c>
      <c r="M365" s="11"/>
      <c r="N365" s="11">
        <v>2735261000</v>
      </c>
      <c r="O365" s="11"/>
      <c r="P365" s="10" t="s">
        <v>26</v>
      </c>
      <c r="Q365" s="11"/>
      <c r="R365" s="11">
        <v>0.60157009107363968</v>
      </c>
      <c r="S365" s="11" t="s">
        <v>136</v>
      </c>
      <c r="T365" s="10" t="s">
        <v>141</v>
      </c>
    </row>
    <row r="366" spans="1:20" x14ac:dyDescent="0.35">
      <c r="A366" s="12">
        <v>2015</v>
      </c>
      <c r="B366" s="11">
        <v>4911709000</v>
      </c>
      <c r="C366" s="11"/>
      <c r="D366" s="11">
        <v>72122000</v>
      </c>
      <c r="E366" s="11"/>
      <c r="F366" s="11">
        <v>92553000</v>
      </c>
      <c r="G366" s="11"/>
      <c r="H366" s="11"/>
      <c r="I366" s="11">
        <v>184792000</v>
      </c>
      <c r="J366" s="11"/>
      <c r="K366" s="11"/>
      <c r="L366" s="11">
        <v>1663749000</v>
      </c>
      <c r="M366" s="11"/>
      <c r="N366" s="11">
        <v>2992462000</v>
      </c>
      <c r="O366" s="11"/>
      <c r="P366" s="10" t="s">
        <v>26</v>
      </c>
      <c r="Q366" s="11"/>
      <c r="R366" s="11">
        <v>0.6092506701842475</v>
      </c>
      <c r="S366" s="11" t="s">
        <v>136</v>
      </c>
      <c r="T366" s="10" t="s">
        <v>141</v>
      </c>
    </row>
    <row r="367" spans="1:20" x14ac:dyDescent="0.35">
      <c r="A367" s="12">
        <v>2016</v>
      </c>
      <c r="B367" s="11">
        <v>5423279000</v>
      </c>
      <c r="C367" s="11"/>
      <c r="D367" s="11">
        <v>76922000</v>
      </c>
      <c r="E367" s="11"/>
      <c r="F367" s="11">
        <v>94994000</v>
      </c>
      <c r="G367" s="11"/>
      <c r="H367" s="11"/>
      <c r="I367" s="11">
        <v>198344000</v>
      </c>
      <c r="J367" s="11"/>
      <c r="K367" s="11"/>
      <c r="L367" s="11">
        <v>1976733000</v>
      </c>
      <c r="M367" s="11"/>
      <c r="N367" s="11">
        <v>3203750000</v>
      </c>
      <c r="O367" s="11"/>
      <c r="P367" s="10" t="s">
        <v>26</v>
      </c>
      <c r="Q367" s="11"/>
      <c r="R367" s="11">
        <v>0.59074039893577301</v>
      </c>
      <c r="S367" s="11" t="s">
        <v>136</v>
      </c>
      <c r="T367" s="10" t="s">
        <v>141</v>
      </c>
    </row>
    <row r="368" spans="1:20" x14ac:dyDescent="0.35">
      <c r="A368" s="12">
        <v>2017</v>
      </c>
      <c r="B368" s="11">
        <v>6275755000</v>
      </c>
      <c r="C368" s="11"/>
      <c r="D368" s="11">
        <v>81544000</v>
      </c>
      <c r="E368" s="11"/>
      <c r="F368" s="11">
        <v>100125000</v>
      </c>
      <c r="G368" s="11"/>
      <c r="H368" s="11"/>
      <c r="I368" s="11">
        <v>207389000</v>
      </c>
      <c r="J368" s="11"/>
      <c r="K368" s="11"/>
      <c r="L368" s="11">
        <v>2266706000</v>
      </c>
      <c r="M368" s="11"/>
      <c r="N368" s="11">
        <v>3743084000</v>
      </c>
      <c r="O368" s="11"/>
      <c r="P368" s="10" t="s">
        <v>26</v>
      </c>
      <c r="Q368" s="11"/>
      <c r="R368" s="11">
        <v>0.5964356479817966</v>
      </c>
      <c r="S368" s="11" t="s">
        <v>136</v>
      </c>
      <c r="T368" s="10" t="s">
        <v>141</v>
      </c>
    </row>
    <row r="369" spans="1:20" x14ac:dyDescent="0.35">
      <c r="A369" s="12">
        <v>2018</v>
      </c>
      <c r="B369" s="11">
        <v>6289644000</v>
      </c>
      <c r="C369" s="11"/>
      <c r="D369" s="11">
        <v>86145000</v>
      </c>
      <c r="E369" s="11"/>
      <c r="F369" s="11">
        <v>110154000</v>
      </c>
      <c r="G369" s="11"/>
      <c r="H369" s="11"/>
      <c r="I369" s="11">
        <v>225405000</v>
      </c>
      <c r="J369" s="11"/>
      <c r="K369" s="11"/>
      <c r="L369" s="11">
        <v>2345891000</v>
      </c>
      <c r="M369" s="11"/>
      <c r="N369" s="11">
        <v>3686106000</v>
      </c>
      <c r="O369" s="11"/>
      <c r="P369" s="10" t="s">
        <v>26</v>
      </c>
      <c r="Q369" s="11"/>
      <c r="R369" s="11">
        <v>0.58605956076369348</v>
      </c>
      <c r="S369" s="11" t="s">
        <v>136</v>
      </c>
      <c r="T369" s="10" t="s">
        <v>141</v>
      </c>
    </row>
    <row r="370" spans="1:20" x14ac:dyDescent="0.35">
      <c r="A370" s="12">
        <v>2019</v>
      </c>
      <c r="B370" s="11">
        <v>6794992000</v>
      </c>
      <c r="C370" s="11"/>
      <c r="D370" s="11">
        <v>91093000</v>
      </c>
      <c r="E370" s="11"/>
      <c r="F370" s="11">
        <v>109623000</v>
      </c>
      <c r="G370" s="11"/>
      <c r="H370" s="11"/>
      <c r="I370" s="11">
        <v>232227000</v>
      </c>
      <c r="J370" s="11"/>
      <c r="K370" s="11"/>
      <c r="L370" s="11">
        <v>2535341000</v>
      </c>
      <c r="M370" s="11"/>
      <c r="N370" s="11">
        <v>4019102000</v>
      </c>
      <c r="O370" s="11"/>
      <c r="P370" s="10" t="s">
        <v>26</v>
      </c>
      <c r="Q370" s="11"/>
      <c r="R370" s="11">
        <v>0.5914800194025247</v>
      </c>
      <c r="S370" s="11" t="s">
        <v>136</v>
      </c>
      <c r="T370" s="10" t="s">
        <v>141</v>
      </c>
    </row>
    <row r="371" spans="1:20" x14ac:dyDescent="0.35">
      <c r="A371" s="12">
        <v>2020</v>
      </c>
      <c r="B371" s="11">
        <v>7607624000</v>
      </c>
      <c r="C371" s="11"/>
      <c r="D371" s="11">
        <v>289524000</v>
      </c>
      <c r="E371" s="11"/>
      <c r="F371" s="11">
        <v>136289000</v>
      </c>
      <c r="G371" s="11"/>
      <c r="H371" s="11"/>
      <c r="I371" s="11">
        <v>835494000</v>
      </c>
      <c r="J371" s="11"/>
      <c r="K371" s="11"/>
      <c r="L371" s="11">
        <v>2464157000</v>
      </c>
      <c r="M371" s="11"/>
      <c r="N371" s="11">
        <v>4921157000</v>
      </c>
      <c r="O371" s="11"/>
      <c r="P371" s="10" t="s">
        <v>26</v>
      </c>
      <c r="Q371" s="11"/>
      <c r="R371" s="11">
        <v>0.64687174339846454</v>
      </c>
      <c r="S371" s="11" t="s">
        <v>136</v>
      </c>
      <c r="T371" s="10" t="s">
        <v>141</v>
      </c>
    </row>
    <row r="372" spans="1:20" x14ac:dyDescent="0.35">
      <c r="A372" s="12">
        <v>2021</v>
      </c>
      <c r="B372" s="11">
        <v>7622320000</v>
      </c>
      <c r="C372" s="11"/>
      <c r="D372" s="11">
        <v>394725000</v>
      </c>
      <c r="E372" s="11"/>
      <c r="F372" s="11">
        <v>127698000</v>
      </c>
      <c r="G372" s="11"/>
      <c r="H372" s="11"/>
      <c r="I372" s="11">
        <v>951224000</v>
      </c>
      <c r="J372" s="11"/>
      <c r="K372" s="11"/>
      <c r="L372" s="11">
        <v>2580602000</v>
      </c>
      <c r="M372" s="11"/>
      <c r="N372" s="11">
        <v>4745464000</v>
      </c>
      <c r="O372" s="11"/>
      <c r="P372" s="10" t="s">
        <v>26</v>
      </c>
      <c r="Q372" s="11"/>
      <c r="R372" s="11">
        <v>0.62257475414309549</v>
      </c>
      <c r="S372" s="11" t="s">
        <v>136</v>
      </c>
      <c r="T372" s="10" t="s">
        <v>141</v>
      </c>
    </row>
    <row r="373" spans="1:20" x14ac:dyDescent="0.35">
      <c r="A373" s="12">
        <v>2022</v>
      </c>
      <c r="B373" s="11">
        <v>8233991000</v>
      </c>
      <c r="C373" s="11"/>
      <c r="D373" s="11">
        <v>526408000</v>
      </c>
      <c r="E373" s="11"/>
      <c r="F373" s="11">
        <v>136989000</v>
      </c>
      <c r="G373" s="11"/>
      <c r="H373" s="11"/>
      <c r="I373" s="11">
        <v>1074378000</v>
      </c>
      <c r="J373" s="11"/>
      <c r="K373" s="11"/>
      <c r="L373" s="11">
        <v>2954012000</v>
      </c>
      <c r="M373" s="11"/>
      <c r="N373" s="11">
        <v>5021606000</v>
      </c>
      <c r="O373" s="11"/>
      <c r="P373" s="10" t="s">
        <v>26</v>
      </c>
      <c r="Q373" s="11"/>
      <c r="R373" s="11">
        <v>0.60986294495585436</v>
      </c>
      <c r="S373" s="11" t="s">
        <v>136</v>
      </c>
      <c r="T373" s="10" t="s">
        <v>141</v>
      </c>
    </row>
    <row r="374" spans="1:20" x14ac:dyDescent="0.35">
      <c r="A374" s="12">
        <v>2023</v>
      </c>
      <c r="B374" s="11">
        <v>8436512000</v>
      </c>
      <c r="C374" s="11"/>
      <c r="D374" s="11">
        <v>406470000</v>
      </c>
      <c r="E374" s="11"/>
      <c r="F374" s="11">
        <v>167809000</v>
      </c>
      <c r="G374" s="11"/>
      <c r="H374" s="11"/>
      <c r="I374" s="11">
        <v>1132154000</v>
      </c>
      <c r="J374" s="11"/>
      <c r="K374" s="11"/>
      <c r="L374" s="11">
        <v>2963509000</v>
      </c>
      <c r="M374" s="11"/>
      <c r="N374" s="11">
        <v>5210990000</v>
      </c>
      <c r="O374" s="11"/>
      <c r="P374" s="10" t="s">
        <v>26</v>
      </c>
      <c r="Q374" s="11"/>
      <c r="R374" s="11">
        <v>0.61767114181785077</v>
      </c>
      <c r="S374" s="11" t="s">
        <v>136</v>
      </c>
      <c r="T374" s="10" t="s">
        <v>141</v>
      </c>
    </row>
    <row r="375" spans="1:20" x14ac:dyDescent="0.35">
      <c r="A375" s="12">
        <v>2024</v>
      </c>
      <c r="B375" s="11">
        <v>8524757000</v>
      </c>
      <c r="C375" s="11"/>
      <c r="D375" s="11">
        <v>472356000</v>
      </c>
      <c r="E375" s="11"/>
      <c r="F375" s="11">
        <v>175476000</v>
      </c>
      <c r="G375" s="11"/>
      <c r="H375" s="11"/>
      <c r="I375" s="11">
        <v>1202452000</v>
      </c>
      <c r="J375" s="11"/>
      <c r="K375" s="11"/>
      <c r="L375" s="11">
        <v>3171594000</v>
      </c>
      <c r="M375" s="11"/>
      <c r="N375" s="11">
        <v>5100327000</v>
      </c>
      <c r="O375" s="11"/>
      <c r="P375" s="10" t="s">
        <v>26</v>
      </c>
      <c r="Q375" s="11"/>
      <c r="R375" s="11">
        <v>0.59829588104388198</v>
      </c>
      <c r="S375" s="11" t="s">
        <v>136</v>
      </c>
      <c r="T375" s="10" t="s">
        <v>141</v>
      </c>
    </row>
    <row r="376" spans="1:20" x14ac:dyDescent="0.35">
      <c r="A376" s="12">
        <v>2012</v>
      </c>
      <c r="B376" s="11">
        <v>5385172000</v>
      </c>
      <c r="C376" s="11"/>
      <c r="D376" s="11"/>
      <c r="E376" s="11"/>
      <c r="F376" s="11">
        <v>104282000</v>
      </c>
      <c r="G376" s="11"/>
      <c r="H376" s="11"/>
      <c r="I376" s="11"/>
      <c r="J376" s="11"/>
      <c r="K376" s="11"/>
      <c r="L376" s="11">
        <v>2563099000</v>
      </c>
      <c r="M376" s="11"/>
      <c r="N376" s="11">
        <v>2758464000</v>
      </c>
      <c r="O376" s="11"/>
      <c r="P376" s="10" t="s">
        <v>26</v>
      </c>
      <c r="Q376" s="11"/>
      <c r="R376" s="11">
        <v>0.51223322114873959</v>
      </c>
      <c r="S376" s="11" t="s">
        <v>137</v>
      </c>
      <c r="T376" s="10" t="s">
        <v>141</v>
      </c>
    </row>
    <row r="377" spans="1:20" x14ac:dyDescent="0.35">
      <c r="A377" s="12">
        <v>2013</v>
      </c>
      <c r="B377" s="11">
        <v>5632141000</v>
      </c>
      <c r="C377" s="11"/>
      <c r="D377" s="11"/>
      <c r="E377" s="11"/>
      <c r="F377" s="11">
        <v>98129000</v>
      </c>
      <c r="G377" s="11"/>
      <c r="H377" s="11"/>
      <c r="I377" s="11"/>
      <c r="J377" s="11"/>
      <c r="K377" s="11"/>
      <c r="L377" s="11">
        <v>2691536000</v>
      </c>
      <c r="M377" s="11"/>
      <c r="N377" s="11">
        <v>2824780000</v>
      </c>
      <c r="O377" s="11"/>
      <c r="P377" s="10" t="s">
        <v>26</v>
      </c>
      <c r="Q377" s="11"/>
      <c r="R377" s="11">
        <v>0.50154639239323018</v>
      </c>
      <c r="S377" s="11" t="s">
        <v>137</v>
      </c>
      <c r="T377" s="10" t="s">
        <v>141</v>
      </c>
    </row>
    <row r="378" spans="1:20" x14ac:dyDescent="0.35">
      <c r="A378" s="12">
        <v>2014</v>
      </c>
      <c r="B378" s="11">
        <v>6056907000</v>
      </c>
      <c r="C378" s="11"/>
      <c r="D378" s="11"/>
      <c r="E378" s="11"/>
      <c r="F378" s="11">
        <v>93263000</v>
      </c>
      <c r="G378" s="11"/>
      <c r="H378" s="11"/>
      <c r="I378" s="11"/>
      <c r="J378" s="11"/>
      <c r="K378" s="11"/>
      <c r="L378" s="11">
        <v>2815602000</v>
      </c>
      <c r="M378" s="11"/>
      <c r="N378" s="11">
        <v>3100364000</v>
      </c>
      <c r="O378" s="11"/>
      <c r="P378" s="10" t="s">
        <v>26</v>
      </c>
      <c r="Q378" s="11"/>
      <c r="R378" s="11">
        <v>0.51187247880807807</v>
      </c>
      <c r="S378" s="11" t="s">
        <v>137</v>
      </c>
      <c r="T378" s="10" t="s">
        <v>141</v>
      </c>
    </row>
    <row r="379" spans="1:20" x14ac:dyDescent="0.35">
      <c r="A379" s="12">
        <v>2015</v>
      </c>
      <c r="B379" s="11">
        <v>6037612000</v>
      </c>
      <c r="C379" s="11"/>
      <c r="D379" s="11"/>
      <c r="E379" s="11"/>
      <c r="F379" s="11">
        <v>97312000</v>
      </c>
      <c r="G379" s="11"/>
      <c r="H379" s="11"/>
      <c r="I379" s="11"/>
      <c r="J379" s="11"/>
      <c r="K379" s="11"/>
      <c r="L379" s="11">
        <v>2816557000</v>
      </c>
      <c r="M379" s="11"/>
      <c r="N379" s="11">
        <v>3065352000</v>
      </c>
      <c r="O379" s="11"/>
      <c r="P379" s="10" t="s">
        <v>26</v>
      </c>
      <c r="Q379" s="11"/>
      <c r="R379" s="11">
        <v>0.50770933938782414</v>
      </c>
      <c r="S379" s="11" t="s">
        <v>137</v>
      </c>
      <c r="T379" s="10" t="s">
        <v>141</v>
      </c>
    </row>
    <row r="380" spans="1:20" x14ac:dyDescent="0.35">
      <c r="A380" s="12">
        <v>2016</v>
      </c>
      <c r="B380" s="11">
        <v>6028152000</v>
      </c>
      <c r="C380" s="11"/>
      <c r="D380" s="11"/>
      <c r="E380" s="11"/>
      <c r="F380" s="11">
        <v>93145000</v>
      </c>
      <c r="G380" s="11"/>
      <c r="H380" s="11"/>
      <c r="I380" s="11">
        <v>876447000</v>
      </c>
      <c r="J380" s="11"/>
      <c r="K380" s="11"/>
      <c r="L380" s="11">
        <v>3014873000</v>
      </c>
      <c r="M380" s="11"/>
      <c r="N380" s="11">
        <v>2855562000</v>
      </c>
      <c r="O380" s="11"/>
      <c r="P380" s="10" t="s">
        <v>26</v>
      </c>
      <c r="Q380" s="11"/>
      <c r="R380" s="11">
        <v>0.47370437905348112</v>
      </c>
      <c r="S380" s="11" t="s">
        <v>137</v>
      </c>
      <c r="T380" s="10" t="s">
        <v>141</v>
      </c>
    </row>
    <row r="381" spans="1:20" x14ac:dyDescent="0.35">
      <c r="A381" s="12">
        <v>2017</v>
      </c>
      <c r="B381" s="11">
        <v>6173748000</v>
      </c>
      <c r="C381" s="11"/>
      <c r="D381" s="11"/>
      <c r="E381" s="11"/>
      <c r="F381" s="11">
        <v>86750000</v>
      </c>
      <c r="G381" s="11"/>
      <c r="H381" s="11"/>
      <c r="I381" s="11">
        <v>219521000</v>
      </c>
      <c r="J381" s="11"/>
      <c r="K381" s="11"/>
      <c r="L381" s="11">
        <v>3405363000</v>
      </c>
      <c r="M381" s="11"/>
      <c r="N381" s="11">
        <v>2611804000</v>
      </c>
      <c r="O381" s="11"/>
      <c r="P381" s="10" t="s">
        <v>26</v>
      </c>
      <c r="Q381" s="11"/>
      <c r="R381" s="11">
        <v>0.4230499851953789</v>
      </c>
      <c r="S381" s="11" t="s">
        <v>137</v>
      </c>
      <c r="T381" s="10" t="s">
        <v>141</v>
      </c>
    </row>
    <row r="382" spans="1:20" x14ac:dyDescent="0.35">
      <c r="A382" s="12">
        <v>2018</v>
      </c>
      <c r="B382" s="11">
        <v>6219586000</v>
      </c>
      <c r="C382" s="11"/>
      <c r="D382" s="11"/>
      <c r="E382" s="11"/>
      <c r="F382" s="11">
        <v>84263000</v>
      </c>
      <c r="G382" s="11"/>
      <c r="H382" s="11"/>
      <c r="I382" s="11">
        <v>230683000</v>
      </c>
      <c r="J382" s="11"/>
      <c r="K382" s="11"/>
      <c r="L382" s="11">
        <v>3311423000</v>
      </c>
      <c r="M382" s="11"/>
      <c r="N382" s="11">
        <v>2781808000</v>
      </c>
      <c r="O382" s="11"/>
      <c r="P382" s="10" t="s">
        <v>26</v>
      </c>
      <c r="Q382" s="11"/>
      <c r="R382" s="11">
        <v>0.44726578264212441</v>
      </c>
      <c r="S382" s="11" t="s">
        <v>137</v>
      </c>
      <c r="T382" s="10" t="s">
        <v>141</v>
      </c>
    </row>
    <row r="383" spans="1:20" x14ac:dyDescent="0.35">
      <c r="A383" s="12">
        <v>2019</v>
      </c>
      <c r="B383" s="11">
        <v>6748504000</v>
      </c>
      <c r="C383" s="11"/>
      <c r="D383" s="11"/>
      <c r="E383" s="11"/>
      <c r="F383" s="11">
        <v>80706000</v>
      </c>
      <c r="G383" s="11"/>
      <c r="H383" s="11"/>
      <c r="I383" s="11">
        <v>8696000</v>
      </c>
      <c r="J383" s="11"/>
      <c r="K383" s="11"/>
      <c r="L383" s="11">
        <v>3628685000</v>
      </c>
      <c r="M383" s="11"/>
      <c r="N383" s="11">
        <v>3046780000</v>
      </c>
      <c r="O383" s="11"/>
      <c r="P383" s="10" t="s">
        <v>26</v>
      </c>
      <c r="Q383" s="11"/>
      <c r="R383" s="11">
        <v>0.45147487502415351</v>
      </c>
      <c r="S383" s="11" t="s">
        <v>137</v>
      </c>
      <c r="T383" s="10" t="s">
        <v>141</v>
      </c>
    </row>
    <row r="384" spans="1:20" x14ac:dyDescent="0.35">
      <c r="A384" s="12">
        <v>2020</v>
      </c>
      <c r="B384" s="11">
        <v>7198952000</v>
      </c>
      <c r="C384" s="11"/>
      <c r="D384" s="11"/>
      <c r="E384" s="11"/>
      <c r="F384" s="11">
        <v>91526000</v>
      </c>
      <c r="G384" s="11"/>
      <c r="H384" s="11"/>
      <c r="I384" s="11">
        <v>10800000</v>
      </c>
      <c r="J384" s="11"/>
      <c r="K384" s="11"/>
      <c r="L384" s="11">
        <v>3444905000</v>
      </c>
      <c r="M384" s="11"/>
      <c r="N384" s="11">
        <v>3682365000</v>
      </c>
      <c r="O384" s="11"/>
      <c r="P384" s="10" t="s">
        <v>26</v>
      </c>
      <c r="Q384" s="11"/>
      <c r="R384" s="11">
        <v>0.51151403704316967</v>
      </c>
      <c r="S384" s="11" t="s">
        <v>137</v>
      </c>
      <c r="T384" s="10" t="s">
        <v>141</v>
      </c>
    </row>
    <row r="385" spans="1:20" x14ac:dyDescent="0.35">
      <c r="A385" s="12">
        <v>2021</v>
      </c>
      <c r="B385" s="11">
        <v>7976784000</v>
      </c>
      <c r="C385" s="11"/>
      <c r="D385" s="11"/>
      <c r="E385" s="11"/>
      <c r="F385" s="11">
        <v>97297000</v>
      </c>
      <c r="G385" s="11"/>
      <c r="H385" s="11"/>
      <c r="I385" s="11">
        <v>10532000</v>
      </c>
      <c r="J385" s="11"/>
      <c r="K385" s="11"/>
      <c r="L385" s="11">
        <v>4197490000</v>
      </c>
      <c r="M385" s="11"/>
      <c r="N385" s="11">
        <v>3710529000</v>
      </c>
      <c r="O385" s="11"/>
      <c r="P385" s="10" t="s">
        <v>26</v>
      </c>
      <c r="Q385" s="11"/>
      <c r="R385" s="11">
        <v>0.4651660368389065</v>
      </c>
      <c r="S385" s="11" t="s">
        <v>137</v>
      </c>
      <c r="T385" s="10" t="s">
        <v>141</v>
      </c>
    </row>
    <row r="386" spans="1:20" x14ac:dyDescent="0.35">
      <c r="A386" s="12">
        <v>2022</v>
      </c>
      <c r="B386" s="11">
        <v>9327935000</v>
      </c>
      <c r="C386" s="11"/>
      <c r="D386" s="11"/>
      <c r="E386" s="11"/>
      <c r="F386" s="11">
        <v>113424000</v>
      </c>
      <c r="G386" s="11"/>
      <c r="H386" s="11"/>
      <c r="I386" s="11">
        <v>5188000</v>
      </c>
      <c r="J386" s="11"/>
      <c r="K386" s="11"/>
      <c r="L386" s="11">
        <v>4986620000</v>
      </c>
      <c r="M386" s="11"/>
      <c r="N386" s="11">
        <v>4271014000</v>
      </c>
      <c r="O386" s="11"/>
      <c r="P386" s="10" t="s">
        <v>26</v>
      </c>
      <c r="Q386" s="11"/>
      <c r="R386" s="11">
        <v>0.45787347360375052</v>
      </c>
      <c r="S386" s="11" t="s">
        <v>137</v>
      </c>
      <c r="T386" s="10" t="s">
        <v>141</v>
      </c>
    </row>
    <row r="387" spans="1:20" x14ac:dyDescent="0.35">
      <c r="A387" s="12">
        <v>2023</v>
      </c>
      <c r="B387" s="11">
        <v>9383737000</v>
      </c>
      <c r="C387" s="11"/>
      <c r="D387" s="11"/>
      <c r="E387" s="11">
        <v>1115217000</v>
      </c>
      <c r="F387" s="11">
        <v>133395000</v>
      </c>
      <c r="G387" s="11"/>
      <c r="H387" s="11"/>
      <c r="I387" s="11">
        <v>3451000</v>
      </c>
      <c r="J387" s="11"/>
      <c r="K387" s="11"/>
      <c r="L387" s="11">
        <v>4980757000</v>
      </c>
      <c r="M387" s="11"/>
      <c r="N387" s="11">
        <v>4331966000</v>
      </c>
      <c r="O387" s="11"/>
      <c r="P387" s="10" t="s">
        <v>26</v>
      </c>
      <c r="Q387" s="11"/>
      <c r="R387" s="11">
        <v>0.46164614374848739</v>
      </c>
      <c r="S387" s="11" t="s">
        <v>137</v>
      </c>
      <c r="T387" s="10" t="s">
        <v>141</v>
      </c>
    </row>
    <row r="388" spans="1:20" x14ac:dyDescent="0.35">
      <c r="A388" s="12">
        <v>2024</v>
      </c>
      <c r="B388" s="11">
        <v>8852144000</v>
      </c>
      <c r="C388" s="11"/>
      <c r="D388" s="11"/>
      <c r="E388" s="11">
        <v>878022000</v>
      </c>
      <c r="F388" s="11">
        <v>129815000</v>
      </c>
      <c r="G388" s="11"/>
      <c r="H388" s="11"/>
      <c r="I388" s="11">
        <v>7137000</v>
      </c>
      <c r="J388" s="11"/>
      <c r="K388" s="11"/>
      <c r="L388" s="11">
        <v>4675198000</v>
      </c>
      <c r="M388" s="11"/>
      <c r="N388" s="11">
        <v>4104955000</v>
      </c>
      <c r="O388" s="11"/>
      <c r="P388" s="10" t="s">
        <v>26</v>
      </c>
      <c r="Q388" s="11"/>
      <c r="R388" s="11">
        <v>0.46372438134761479</v>
      </c>
      <c r="S388" s="11" t="s">
        <v>137</v>
      </c>
      <c r="T388" s="10" t="s">
        <v>141</v>
      </c>
    </row>
    <row r="389" spans="1:20" x14ac:dyDescent="0.35">
      <c r="A389" s="12">
        <v>2012</v>
      </c>
      <c r="B389" s="11">
        <v>12994000000</v>
      </c>
      <c r="C389" s="11"/>
      <c r="D389" s="11">
        <v>362000000</v>
      </c>
      <c r="E389" s="11"/>
      <c r="F389" s="11">
        <v>373000000</v>
      </c>
      <c r="G389" s="11"/>
      <c r="H389" s="11"/>
      <c r="I389" s="11">
        <v>5286000000</v>
      </c>
      <c r="J389" s="11"/>
      <c r="K389" s="11"/>
      <c r="L389" s="11">
        <v>6825000000</v>
      </c>
      <c r="M389" s="11"/>
      <c r="N389" s="11">
        <v>5977000000</v>
      </c>
      <c r="O389" s="11"/>
      <c r="P389" s="10" t="s">
        <v>26</v>
      </c>
      <c r="Q389" s="11"/>
      <c r="R389" s="11">
        <v>0.45998152993689401</v>
      </c>
      <c r="S389" s="11" t="s">
        <v>138</v>
      </c>
      <c r="T389" s="10" t="s">
        <v>141</v>
      </c>
    </row>
    <row r="390" spans="1:20" x14ac:dyDescent="0.35">
      <c r="A390" s="12">
        <v>2013</v>
      </c>
      <c r="B390" s="11">
        <v>12814000000</v>
      </c>
      <c r="C390" s="11"/>
      <c r="D390" s="11">
        <v>512000000</v>
      </c>
      <c r="E390" s="11"/>
      <c r="F390" s="11">
        <v>304000000</v>
      </c>
      <c r="G390" s="11"/>
      <c r="H390" s="11"/>
      <c r="I390" s="11">
        <v>5166000000</v>
      </c>
      <c r="J390" s="11"/>
      <c r="K390" s="11"/>
      <c r="L390" s="11">
        <v>7228000000</v>
      </c>
      <c r="M390" s="11"/>
      <c r="N390" s="11">
        <v>5362000000</v>
      </c>
      <c r="O390" s="11"/>
      <c r="P390" s="10" t="s">
        <v>26</v>
      </c>
      <c r="Q390" s="11"/>
      <c r="R390" s="11">
        <v>0.41844857187451218</v>
      </c>
      <c r="S390" s="11" t="s">
        <v>138</v>
      </c>
      <c r="T390" s="10" t="s">
        <v>141</v>
      </c>
    </row>
    <row r="391" spans="1:20" x14ac:dyDescent="0.35">
      <c r="A391" s="12">
        <v>2014</v>
      </c>
      <c r="B391" s="11">
        <v>12207000000</v>
      </c>
      <c r="C391" s="11"/>
      <c r="D391" s="11">
        <v>710000000</v>
      </c>
      <c r="E391" s="11"/>
      <c r="F391" s="11">
        <v>214000000</v>
      </c>
      <c r="G391" s="11"/>
      <c r="H391" s="11"/>
      <c r="I391" s="11">
        <v>5354000000</v>
      </c>
      <c r="J391" s="11"/>
      <c r="K391" s="11"/>
      <c r="L391" s="11">
        <v>7336000000</v>
      </c>
      <c r="M391" s="11"/>
      <c r="N391" s="11">
        <v>4614000000</v>
      </c>
      <c r="O391" s="11"/>
      <c r="P391" s="10" t="s">
        <v>26</v>
      </c>
      <c r="Q391" s="11"/>
      <c r="R391" s="11">
        <v>0.37797984762840992</v>
      </c>
      <c r="S391" s="11" t="s">
        <v>138</v>
      </c>
      <c r="T391" s="10" t="s">
        <v>141</v>
      </c>
    </row>
    <row r="392" spans="1:20" x14ac:dyDescent="0.35">
      <c r="A392" s="12">
        <v>2015</v>
      </c>
      <c r="B392" s="11">
        <v>11784000000</v>
      </c>
      <c r="C392" s="11"/>
      <c r="D392" s="11">
        <v>650000000</v>
      </c>
      <c r="E392" s="11"/>
      <c r="F392" s="11">
        <v>234000000</v>
      </c>
      <c r="G392" s="11"/>
      <c r="H392" s="11"/>
      <c r="I392" s="11">
        <v>5387000000</v>
      </c>
      <c r="J392" s="11"/>
      <c r="K392" s="11"/>
      <c r="L392" s="11">
        <v>7064000000</v>
      </c>
      <c r="M392" s="11"/>
      <c r="N392" s="11">
        <v>4559000000</v>
      </c>
      <c r="O392" s="11"/>
      <c r="P392" s="10" t="s">
        <v>26</v>
      </c>
      <c r="Q392" s="11"/>
      <c r="R392" s="11">
        <v>0.38688051595383571</v>
      </c>
      <c r="S392" s="11" t="s">
        <v>138</v>
      </c>
      <c r="T392" s="10" t="s">
        <v>141</v>
      </c>
    </row>
    <row r="393" spans="1:20" x14ac:dyDescent="0.35">
      <c r="A393" s="12">
        <v>2016</v>
      </c>
      <c r="B393" s="11">
        <v>11408000000</v>
      </c>
      <c r="C393" s="11"/>
      <c r="D393" s="11">
        <v>684000000</v>
      </c>
      <c r="E393" s="11"/>
      <c r="F393" s="11">
        <v>154000000</v>
      </c>
      <c r="G393" s="11"/>
      <c r="H393" s="11"/>
      <c r="I393" s="11">
        <v>5430000000</v>
      </c>
      <c r="J393" s="11"/>
      <c r="K393" s="11"/>
      <c r="L393" s="11">
        <v>6994000000</v>
      </c>
      <c r="M393" s="11"/>
      <c r="N393" s="11">
        <v>4210000000</v>
      </c>
      <c r="O393" s="11"/>
      <c r="P393" s="10" t="s">
        <v>26</v>
      </c>
      <c r="Q393" s="11"/>
      <c r="R393" s="11">
        <v>0.36903927068723702</v>
      </c>
      <c r="S393" s="11" t="s">
        <v>138</v>
      </c>
      <c r="T393" s="10" t="s">
        <v>141</v>
      </c>
    </row>
    <row r="394" spans="1:20" x14ac:dyDescent="0.35">
      <c r="A394" s="12">
        <v>2017</v>
      </c>
      <c r="B394" s="11">
        <v>11693000000</v>
      </c>
      <c r="C394" s="11"/>
      <c r="D394" s="11">
        <v>676000000</v>
      </c>
      <c r="E394" s="11"/>
      <c r="F394" s="11">
        <v>167000000</v>
      </c>
      <c r="G394" s="11"/>
      <c r="H394" s="11"/>
      <c r="I394" s="11">
        <v>5387000000</v>
      </c>
      <c r="J394" s="11"/>
      <c r="K394" s="11"/>
      <c r="L394" s="11">
        <v>6973000000</v>
      </c>
      <c r="M394" s="11"/>
      <c r="N394" s="11">
        <v>4524000000</v>
      </c>
      <c r="O394" s="11"/>
      <c r="P394" s="10" t="s">
        <v>26</v>
      </c>
      <c r="Q394" s="11"/>
      <c r="R394" s="11">
        <v>0.38689814418883101</v>
      </c>
      <c r="S394" s="11" t="s">
        <v>138</v>
      </c>
      <c r="T394" s="10" t="s">
        <v>141</v>
      </c>
    </row>
    <row r="395" spans="1:20" x14ac:dyDescent="0.35">
      <c r="A395" s="12">
        <v>2018</v>
      </c>
      <c r="B395" s="11">
        <v>12090000000</v>
      </c>
      <c r="C395" s="11"/>
      <c r="D395" s="11">
        <v>530000000</v>
      </c>
      <c r="E395" s="11"/>
      <c r="F395" s="11">
        <v>176000000</v>
      </c>
      <c r="G395" s="11"/>
      <c r="H395" s="11"/>
      <c r="I395" s="11"/>
      <c r="J395" s="11"/>
      <c r="K395" s="11"/>
      <c r="L395" s="11">
        <v>7494000000</v>
      </c>
      <c r="M395" s="11"/>
      <c r="N395" s="11">
        <v>4396000000</v>
      </c>
      <c r="O395" s="11"/>
      <c r="P395" s="10" t="s">
        <v>26</v>
      </c>
      <c r="Q395" s="11"/>
      <c r="R395" s="11">
        <v>0.36360628618693142</v>
      </c>
      <c r="S395" s="11" t="s">
        <v>138</v>
      </c>
      <c r="T395" s="10" t="s">
        <v>141</v>
      </c>
    </row>
    <row r="396" spans="1:20" x14ac:dyDescent="0.35">
      <c r="A396" s="12">
        <v>2019</v>
      </c>
      <c r="B396" s="11">
        <v>12305000000</v>
      </c>
      <c r="C396" s="11"/>
      <c r="D396" s="11">
        <v>799000000</v>
      </c>
      <c r="E396" s="11"/>
      <c r="F396" s="11">
        <v>222000000</v>
      </c>
      <c r="G396" s="11"/>
      <c r="H396" s="11"/>
      <c r="I396" s="11"/>
      <c r="J396" s="11"/>
      <c r="K396" s="11"/>
      <c r="L396" s="11">
        <v>7319000000</v>
      </c>
      <c r="M396" s="11"/>
      <c r="N396" s="11">
        <v>4838000000</v>
      </c>
      <c r="O396" s="11"/>
      <c r="P396" s="10" t="s">
        <v>26</v>
      </c>
      <c r="Q396" s="11"/>
      <c r="R396" s="11">
        <v>0.39317350670459161</v>
      </c>
      <c r="S396" s="11" t="s">
        <v>138</v>
      </c>
      <c r="T396" s="10" t="s">
        <v>141</v>
      </c>
    </row>
    <row r="397" spans="1:20" x14ac:dyDescent="0.35">
      <c r="A397" s="12">
        <v>2020</v>
      </c>
      <c r="B397" s="11">
        <v>12890000000</v>
      </c>
      <c r="C397" s="11"/>
      <c r="D397" s="11">
        <v>-953000000</v>
      </c>
      <c r="E397" s="11"/>
      <c r="F397" s="11">
        <v>194000000</v>
      </c>
      <c r="G397" s="11"/>
      <c r="H397" s="11"/>
      <c r="I397" s="11"/>
      <c r="J397" s="11"/>
      <c r="K397" s="11"/>
      <c r="L397" s="11">
        <v>6321000000</v>
      </c>
      <c r="M397" s="11"/>
      <c r="N397" s="11">
        <v>6456000000</v>
      </c>
      <c r="O397" s="11"/>
      <c r="P397" s="10" t="s">
        <v>26</v>
      </c>
      <c r="Q397" s="11"/>
      <c r="R397" s="11">
        <v>0.50085337470907676</v>
      </c>
      <c r="S397" s="11" t="s">
        <v>138</v>
      </c>
      <c r="T397" s="10" t="s">
        <v>141</v>
      </c>
    </row>
    <row r="398" spans="1:20" x14ac:dyDescent="0.35">
      <c r="A398" s="12">
        <v>2021</v>
      </c>
      <c r="B398" s="11">
        <v>12352000000</v>
      </c>
      <c r="C398" s="11"/>
      <c r="D398" s="11">
        <v>-250000000</v>
      </c>
      <c r="E398" s="11"/>
      <c r="F398" s="11">
        <v>191000000</v>
      </c>
      <c r="G398" s="11"/>
      <c r="H398" s="11"/>
      <c r="I398" s="11"/>
      <c r="J398" s="11"/>
      <c r="K398" s="11"/>
      <c r="L398" s="11">
        <v>6441000000</v>
      </c>
      <c r="M398" s="11"/>
      <c r="N398" s="11">
        <v>5780000000</v>
      </c>
      <c r="O398" s="11"/>
      <c r="P398" s="10" t="s">
        <v>26</v>
      </c>
      <c r="Q398" s="11"/>
      <c r="R398" s="11">
        <v>0.46794041450777202</v>
      </c>
      <c r="S398" s="11" t="s">
        <v>138</v>
      </c>
      <c r="T398" s="10" t="s">
        <v>141</v>
      </c>
    </row>
    <row r="399" spans="1:20" x14ac:dyDescent="0.35">
      <c r="A399" s="12">
        <v>2022</v>
      </c>
      <c r="B399" s="11">
        <v>12269000000</v>
      </c>
      <c r="C399" s="11"/>
      <c r="D399" s="11">
        <v>775000000</v>
      </c>
      <c r="E399" s="11"/>
      <c r="F399" s="11">
        <v>156000000</v>
      </c>
      <c r="G399" s="11"/>
      <c r="H399" s="11"/>
      <c r="I399" s="11"/>
      <c r="J399" s="11"/>
      <c r="K399" s="11"/>
      <c r="L399" s="11">
        <v>6710000000</v>
      </c>
      <c r="M399" s="11"/>
      <c r="N399" s="11">
        <v>5390000000</v>
      </c>
      <c r="O399" s="11"/>
      <c r="P399" s="10" t="s">
        <v>26</v>
      </c>
      <c r="Q399" s="11"/>
      <c r="R399" s="11">
        <v>0.4393186078735023</v>
      </c>
      <c r="S399" s="11" t="s">
        <v>138</v>
      </c>
      <c r="T399" s="10" t="s">
        <v>141</v>
      </c>
    </row>
    <row r="400" spans="1:20" x14ac:dyDescent="0.35">
      <c r="A400" s="12">
        <v>2023</v>
      </c>
      <c r="B400" s="11">
        <v>12243000000</v>
      </c>
      <c r="C400" s="11"/>
      <c r="D400" s="11">
        <v>827000000</v>
      </c>
      <c r="E400" s="11"/>
      <c r="F400" s="11">
        <v>191000000</v>
      </c>
      <c r="G400" s="11"/>
      <c r="H400" s="11"/>
      <c r="I400" s="11"/>
      <c r="J400" s="11"/>
      <c r="K400" s="11"/>
      <c r="L400" s="11">
        <v>6633000000</v>
      </c>
      <c r="M400" s="11"/>
      <c r="N400" s="11">
        <v>5417000000</v>
      </c>
      <c r="O400" s="11"/>
      <c r="P400" s="10" t="s">
        <v>26</v>
      </c>
      <c r="Q400" s="11"/>
      <c r="R400" s="11">
        <v>0.44245691415502741</v>
      </c>
      <c r="S400" s="11" t="s">
        <v>138</v>
      </c>
      <c r="T400" s="10" t="s">
        <v>141</v>
      </c>
    </row>
    <row r="401" spans="1:20" x14ac:dyDescent="0.35">
      <c r="A401" s="12">
        <v>2024</v>
      </c>
      <c r="B401" s="11">
        <v>13048000000</v>
      </c>
      <c r="C401" s="11"/>
      <c r="D401" s="11">
        <v>875000000</v>
      </c>
      <c r="E401" s="11"/>
      <c r="F401" s="11"/>
      <c r="G401" s="11"/>
      <c r="H401" s="11"/>
      <c r="I401" s="11"/>
      <c r="J401" s="11"/>
      <c r="K401" s="11"/>
      <c r="L401" s="11">
        <v>6609000000</v>
      </c>
      <c r="M401" s="11"/>
      <c r="N401" s="11">
        <v>6271000000</v>
      </c>
      <c r="O401" s="11"/>
      <c r="P401" s="10" t="s">
        <v>26</v>
      </c>
      <c r="Q401" s="11"/>
      <c r="R401" s="11">
        <v>0.48061005518087058</v>
      </c>
      <c r="S401" s="11" t="s">
        <v>138</v>
      </c>
      <c r="T401" s="10" t="s">
        <v>141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W16"/>
  <sheetViews>
    <sheetView workbookViewId="0">
      <selection activeCell="U4" sqref="U4:U16"/>
    </sheetView>
  </sheetViews>
  <sheetFormatPr defaultColWidth="8.81640625" defaultRowHeight="14.5" x14ac:dyDescent="0.35"/>
  <cols>
    <col min="1" max="1" width="12.1796875" bestFit="1" customWidth="1"/>
    <col min="21" max="21" width="12.1796875" bestFit="1" customWidth="1"/>
    <col min="41" max="41" width="12.1796875" bestFit="1" customWidth="1"/>
    <col min="61" max="61" width="12.1796875" bestFit="1" customWidth="1"/>
    <col min="81" max="81" width="12.1796875" bestFit="1" customWidth="1"/>
    <col min="101" max="101" width="12.1796875" bestFit="1" customWidth="1"/>
    <col min="121" max="121" width="12.1796875" bestFit="1" customWidth="1"/>
    <col min="141" max="141" width="12.1796875" bestFit="1" customWidth="1"/>
    <col min="161" max="161" width="12.1796875" bestFit="1" customWidth="1"/>
  </cols>
  <sheetData>
    <row r="1" spans="1:179" x14ac:dyDescent="0.35">
      <c r="A1" s="2" t="s">
        <v>0</v>
      </c>
      <c r="B1" s="3" t="s">
        <v>29</v>
      </c>
      <c r="U1" s="2" t="s">
        <v>0</v>
      </c>
      <c r="V1" s="3" t="s">
        <v>58</v>
      </c>
      <c r="AO1" s="2" t="s">
        <v>0</v>
      </c>
      <c r="AP1" s="3" t="s">
        <v>59</v>
      </c>
      <c r="BI1" s="2" t="s">
        <v>0</v>
      </c>
      <c r="BJ1" s="3" t="s">
        <v>60</v>
      </c>
      <c r="CC1" s="2" t="s">
        <v>0</v>
      </c>
      <c r="CD1" s="3" t="s">
        <v>61</v>
      </c>
      <c r="CW1" s="2" t="s">
        <v>0</v>
      </c>
      <c r="CX1" s="3" t="s">
        <v>62</v>
      </c>
      <c r="DQ1" s="2" t="s">
        <v>0</v>
      </c>
      <c r="DR1" s="3" t="s">
        <v>63</v>
      </c>
      <c r="EK1" s="2" t="s">
        <v>0</v>
      </c>
      <c r="EL1" s="3" t="s">
        <v>64</v>
      </c>
      <c r="FE1" s="2" t="s">
        <v>0</v>
      </c>
      <c r="FF1" s="3" t="s">
        <v>65</v>
      </c>
    </row>
    <row r="2" spans="1:179" ht="188.5" x14ac:dyDescent="0.35">
      <c r="A2" s="4" t="s">
        <v>1</v>
      </c>
      <c r="B2" s="5" t="s">
        <v>3</v>
      </c>
      <c r="C2" s="5" t="s">
        <v>4</v>
      </c>
      <c r="D2" s="5" t="s">
        <v>5</v>
      </c>
      <c r="E2" s="5" t="s">
        <v>49</v>
      </c>
      <c r="F2" s="5" t="s">
        <v>6</v>
      </c>
      <c r="G2" s="4" t="s">
        <v>54</v>
      </c>
      <c r="H2" s="4" t="s">
        <v>55</v>
      </c>
      <c r="I2" s="5" t="s">
        <v>7</v>
      </c>
      <c r="J2" s="5" t="s">
        <v>8</v>
      </c>
      <c r="K2" s="5" t="s">
        <v>9</v>
      </c>
      <c r="L2" s="5" t="s">
        <v>10</v>
      </c>
      <c r="M2" s="4" t="s">
        <v>47</v>
      </c>
      <c r="N2" s="5" t="s">
        <v>46</v>
      </c>
      <c r="O2" s="5" t="s">
        <v>48</v>
      </c>
      <c r="P2" s="5" t="s">
        <v>30</v>
      </c>
      <c r="Q2" s="4" t="s">
        <v>11</v>
      </c>
      <c r="R2" s="4" t="s">
        <v>24</v>
      </c>
      <c r="S2" s="4" t="s">
        <v>31</v>
      </c>
      <c r="U2" s="4" t="s">
        <v>1</v>
      </c>
      <c r="V2" s="5" t="s">
        <v>3</v>
      </c>
      <c r="W2" s="5" t="s">
        <v>4</v>
      </c>
      <c r="X2" s="5" t="s">
        <v>5</v>
      </c>
      <c r="Y2" s="5" t="s">
        <v>49</v>
      </c>
      <c r="Z2" s="5" t="s">
        <v>6</v>
      </c>
      <c r="AA2" s="4" t="s">
        <v>54</v>
      </c>
      <c r="AB2" s="4" t="s">
        <v>55</v>
      </c>
      <c r="AC2" s="5" t="s">
        <v>7</v>
      </c>
      <c r="AD2" s="5" t="s">
        <v>8</v>
      </c>
      <c r="AE2" s="5" t="s">
        <v>9</v>
      </c>
      <c r="AF2" s="5" t="s">
        <v>10</v>
      </c>
      <c r="AG2" s="4" t="s">
        <v>47</v>
      </c>
      <c r="AH2" s="5" t="s">
        <v>46</v>
      </c>
      <c r="AI2" s="5" t="s">
        <v>48</v>
      </c>
      <c r="AJ2" s="5" t="s">
        <v>30</v>
      </c>
      <c r="AK2" s="4" t="s">
        <v>11</v>
      </c>
      <c r="AL2" s="4" t="s">
        <v>24</v>
      </c>
      <c r="AM2" s="4" t="s">
        <v>31</v>
      </c>
      <c r="AO2" s="4" t="s">
        <v>1</v>
      </c>
      <c r="AP2" s="5" t="s">
        <v>3</v>
      </c>
      <c r="AQ2" s="5" t="s">
        <v>4</v>
      </c>
      <c r="AR2" s="5" t="s">
        <v>5</v>
      </c>
      <c r="AS2" s="5" t="s">
        <v>49</v>
      </c>
      <c r="AT2" s="5" t="s">
        <v>6</v>
      </c>
      <c r="AU2" s="4" t="s">
        <v>54</v>
      </c>
      <c r="AV2" s="4" t="s">
        <v>55</v>
      </c>
      <c r="AW2" s="5" t="s">
        <v>7</v>
      </c>
      <c r="AX2" s="5" t="s">
        <v>8</v>
      </c>
      <c r="AY2" s="5" t="s">
        <v>9</v>
      </c>
      <c r="AZ2" s="5" t="s">
        <v>10</v>
      </c>
      <c r="BA2" s="4" t="s">
        <v>47</v>
      </c>
      <c r="BB2" s="5" t="s">
        <v>46</v>
      </c>
      <c r="BC2" s="5" t="s">
        <v>48</v>
      </c>
      <c r="BD2" s="5" t="s">
        <v>30</v>
      </c>
      <c r="BE2" s="4" t="s">
        <v>11</v>
      </c>
      <c r="BF2" s="4" t="s">
        <v>24</v>
      </c>
      <c r="BG2" s="4" t="s">
        <v>31</v>
      </c>
      <c r="BI2" s="4" t="s">
        <v>1</v>
      </c>
      <c r="BJ2" s="5" t="s">
        <v>3</v>
      </c>
      <c r="BK2" s="5" t="s">
        <v>4</v>
      </c>
      <c r="BL2" s="5" t="s">
        <v>5</v>
      </c>
      <c r="BM2" s="5" t="s">
        <v>49</v>
      </c>
      <c r="BN2" s="5" t="s">
        <v>6</v>
      </c>
      <c r="BO2" s="4" t="s">
        <v>54</v>
      </c>
      <c r="BP2" s="4" t="s">
        <v>55</v>
      </c>
      <c r="BQ2" s="5" t="s">
        <v>7</v>
      </c>
      <c r="BR2" s="5" t="s">
        <v>8</v>
      </c>
      <c r="BS2" s="5" t="s">
        <v>9</v>
      </c>
      <c r="BT2" s="5" t="s">
        <v>10</v>
      </c>
      <c r="BU2" s="4" t="s">
        <v>47</v>
      </c>
      <c r="BV2" s="5" t="s">
        <v>46</v>
      </c>
      <c r="BW2" s="5" t="s">
        <v>48</v>
      </c>
      <c r="BX2" s="5" t="s">
        <v>30</v>
      </c>
      <c r="BY2" s="4" t="s">
        <v>11</v>
      </c>
      <c r="BZ2" s="4" t="s">
        <v>24</v>
      </c>
      <c r="CA2" s="4" t="s">
        <v>31</v>
      </c>
      <c r="CC2" s="4" t="s">
        <v>1</v>
      </c>
      <c r="CD2" s="5" t="s">
        <v>3</v>
      </c>
      <c r="CE2" s="5" t="s">
        <v>4</v>
      </c>
      <c r="CF2" s="5" t="s">
        <v>5</v>
      </c>
      <c r="CG2" s="5" t="s">
        <v>49</v>
      </c>
      <c r="CH2" s="5" t="s">
        <v>6</v>
      </c>
      <c r="CI2" s="4" t="s">
        <v>54</v>
      </c>
      <c r="CJ2" s="4" t="s">
        <v>55</v>
      </c>
      <c r="CK2" s="5" t="s">
        <v>7</v>
      </c>
      <c r="CL2" s="5" t="s">
        <v>8</v>
      </c>
      <c r="CM2" s="5" t="s">
        <v>9</v>
      </c>
      <c r="CN2" s="5" t="s">
        <v>10</v>
      </c>
      <c r="CO2" s="4" t="s">
        <v>47</v>
      </c>
      <c r="CP2" s="5" t="s">
        <v>46</v>
      </c>
      <c r="CQ2" s="5" t="s">
        <v>48</v>
      </c>
      <c r="CR2" s="5" t="s">
        <v>30</v>
      </c>
      <c r="CS2" s="4" t="s">
        <v>11</v>
      </c>
      <c r="CT2" s="4" t="s">
        <v>24</v>
      </c>
      <c r="CU2" s="4" t="s">
        <v>31</v>
      </c>
      <c r="CW2" s="4" t="s">
        <v>1</v>
      </c>
      <c r="CX2" s="5" t="s">
        <v>3</v>
      </c>
      <c r="CY2" s="5" t="s">
        <v>4</v>
      </c>
      <c r="CZ2" s="5" t="s">
        <v>5</v>
      </c>
      <c r="DA2" s="5" t="s">
        <v>49</v>
      </c>
      <c r="DB2" s="5" t="s">
        <v>6</v>
      </c>
      <c r="DC2" s="4" t="s">
        <v>54</v>
      </c>
      <c r="DD2" s="4" t="s">
        <v>55</v>
      </c>
      <c r="DE2" s="5" t="s">
        <v>7</v>
      </c>
      <c r="DF2" s="5" t="s">
        <v>8</v>
      </c>
      <c r="DG2" s="5" t="s">
        <v>9</v>
      </c>
      <c r="DH2" s="5" t="s">
        <v>10</v>
      </c>
      <c r="DI2" s="4" t="s">
        <v>47</v>
      </c>
      <c r="DJ2" s="5" t="s">
        <v>46</v>
      </c>
      <c r="DK2" s="5" t="s">
        <v>48</v>
      </c>
      <c r="DL2" s="5" t="s">
        <v>30</v>
      </c>
      <c r="DM2" s="4" t="s">
        <v>11</v>
      </c>
      <c r="DN2" s="4" t="s">
        <v>24</v>
      </c>
      <c r="DO2" s="4" t="s">
        <v>31</v>
      </c>
      <c r="DQ2" s="4" t="s">
        <v>1</v>
      </c>
      <c r="DR2" s="5" t="s">
        <v>3</v>
      </c>
      <c r="DS2" s="5" t="s">
        <v>4</v>
      </c>
      <c r="DT2" s="5" t="s">
        <v>5</v>
      </c>
      <c r="DU2" s="5" t="s">
        <v>49</v>
      </c>
      <c r="DV2" s="5" t="s">
        <v>6</v>
      </c>
      <c r="DW2" s="4" t="s">
        <v>54</v>
      </c>
      <c r="DX2" s="4" t="s">
        <v>55</v>
      </c>
      <c r="DY2" s="5" t="s">
        <v>7</v>
      </c>
      <c r="DZ2" s="5" t="s">
        <v>8</v>
      </c>
      <c r="EA2" s="5" t="s">
        <v>9</v>
      </c>
      <c r="EB2" s="5" t="s">
        <v>10</v>
      </c>
      <c r="EC2" s="4" t="s">
        <v>47</v>
      </c>
      <c r="ED2" s="5" t="s">
        <v>46</v>
      </c>
      <c r="EE2" s="5" t="s">
        <v>48</v>
      </c>
      <c r="EF2" s="5" t="s">
        <v>30</v>
      </c>
      <c r="EG2" s="4" t="s">
        <v>11</v>
      </c>
      <c r="EH2" s="4" t="s">
        <v>24</v>
      </c>
      <c r="EI2" s="4" t="s">
        <v>31</v>
      </c>
      <c r="EK2" s="4" t="s">
        <v>1</v>
      </c>
      <c r="EL2" s="5" t="s">
        <v>3</v>
      </c>
      <c r="EM2" s="5" t="s">
        <v>4</v>
      </c>
      <c r="EN2" s="5" t="s">
        <v>5</v>
      </c>
      <c r="EO2" s="5" t="s">
        <v>49</v>
      </c>
      <c r="EP2" s="5" t="s">
        <v>6</v>
      </c>
      <c r="EQ2" s="4" t="s">
        <v>54</v>
      </c>
      <c r="ER2" s="4" t="s">
        <v>55</v>
      </c>
      <c r="ES2" s="5" t="s">
        <v>7</v>
      </c>
      <c r="ET2" s="5" t="s">
        <v>8</v>
      </c>
      <c r="EU2" s="5" t="s">
        <v>9</v>
      </c>
      <c r="EV2" s="5" t="s">
        <v>10</v>
      </c>
      <c r="EW2" s="4" t="s">
        <v>47</v>
      </c>
      <c r="EX2" s="5" t="s">
        <v>46</v>
      </c>
      <c r="EY2" s="5" t="s">
        <v>48</v>
      </c>
      <c r="EZ2" s="5" t="s">
        <v>30</v>
      </c>
      <c r="FA2" s="4" t="s">
        <v>11</v>
      </c>
      <c r="FB2" s="4" t="s">
        <v>24</v>
      </c>
      <c r="FC2" s="4" t="s">
        <v>31</v>
      </c>
      <c r="FE2" s="4" t="s">
        <v>1</v>
      </c>
      <c r="FF2" s="5" t="s">
        <v>3</v>
      </c>
      <c r="FG2" s="5" t="s">
        <v>4</v>
      </c>
      <c r="FH2" s="5" t="s">
        <v>5</v>
      </c>
      <c r="FI2" s="5" t="s">
        <v>49</v>
      </c>
      <c r="FJ2" s="5" t="s">
        <v>6</v>
      </c>
      <c r="FK2" s="4" t="s">
        <v>54</v>
      </c>
      <c r="FL2" s="4" t="s">
        <v>55</v>
      </c>
      <c r="FM2" s="5" t="s">
        <v>7</v>
      </c>
      <c r="FN2" s="5" t="s">
        <v>8</v>
      </c>
      <c r="FO2" s="5" t="s">
        <v>9</v>
      </c>
      <c r="FP2" s="5" t="s">
        <v>10</v>
      </c>
      <c r="FQ2" s="4" t="s">
        <v>47</v>
      </c>
      <c r="FR2" s="5" t="s">
        <v>46</v>
      </c>
      <c r="FS2" s="5" t="s">
        <v>48</v>
      </c>
      <c r="FT2" s="5" t="s">
        <v>30</v>
      </c>
      <c r="FU2" s="4" t="s">
        <v>11</v>
      </c>
      <c r="FV2" s="4" t="s">
        <v>24</v>
      </c>
      <c r="FW2" s="4" t="s">
        <v>31</v>
      </c>
    </row>
    <row r="3" spans="1:179" x14ac:dyDescent="0.35">
      <c r="A3" s="2" t="s">
        <v>2</v>
      </c>
      <c r="B3" s="3" t="s">
        <v>12</v>
      </c>
      <c r="C3" s="3" t="s">
        <v>13</v>
      </c>
      <c r="D3" s="3" t="s">
        <v>14</v>
      </c>
      <c r="E3" s="3" t="s">
        <v>53</v>
      </c>
      <c r="F3" s="3" t="s">
        <v>15</v>
      </c>
      <c r="G3" s="3" t="s">
        <v>56</v>
      </c>
      <c r="H3" s="3" t="s">
        <v>57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51</v>
      </c>
      <c r="N3" s="3" t="s">
        <v>50</v>
      </c>
      <c r="O3" s="3" t="s">
        <v>52</v>
      </c>
      <c r="P3" s="3" t="s">
        <v>20</v>
      </c>
      <c r="Q3" s="3" t="s">
        <v>21</v>
      </c>
      <c r="R3" s="3" t="s">
        <v>25</v>
      </c>
      <c r="S3" s="3" t="s">
        <v>32</v>
      </c>
      <c r="U3" s="2" t="s">
        <v>2</v>
      </c>
      <c r="V3" s="3" t="s">
        <v>12</v>
      </c>
      <c r="W3" s="3" t="s">
        <v>13</v>
      </c>
      <c r="X3" s="3" t="s">
        <v>14</v>
      </c>
      <c r="Y3" s="3" t="s">
        <v>53</v>
      </c>
      <c r="Z3" s="3" t="s">
        <v>15</v>
      </c>
      <c r="AA3" s="3" t="s">
        <v>56</v>
      </c>
      <c r="AB3" s="3" t="s">
        <v>57</v>
      </c>
      <c r="AC3" s="3" t="s">
        <v>16</v>
      </c>
      <c r="AD3" s="3" t="s">
        <v>17</v>
      </c>
      <c r="AE3" s="3" t="s">
        <v>18</v>
      </c>
      <c r="AF3" s="3" t="s">
        <v>19</v>
      </c>
      <c r="AG3" s="3" t="s">
        <v>51</v>
      </c>
      <c r="AH3" s="3" t="s">
        <v>50</v>
      </c>
      <c r="AI3" s="3" t="s">
        <v>52</v>
      </c>
      <c r="AJ3" s="3" t="s">
        <v>20</v>
      </c>
      <c r="AK3" s="3" t="s">
        <v>21</v>
      </c>
      <c r="AL3" s="3" t="s">
        <v>25</v>
      </c>
      <c r="AM3" s="3" t="s">
        <v>32</v>
      </c>
      <c r="AO3" s="2" t="s">
        <v>2</v>
      </c>
      <c r="AP3" s="3" t="s">
        <v>12</v>
      </c>
      <c r="AQ3" s="3" t="s">
        <v>13</v>
      </c>
      <c r="AR3" s="3" t="s">
        <v>14</v>
      </c>
      <c r="AS3" s="3" t="s">
        <v>53</v>
      </c>
      <c r="AT3" s="3" t="s">
        <v>15</v>
      </c>
      <c r="AU3" s="3" t="s">
        <v>56</v>
      </c>
      <c r="AV3" s="3" t="s">
        <v>57</v>
      </c>
      <c r="AW3" s="3" t="s">
        <v>16</v>
      </c>
      <c r="AX3" s="3" t="s">
        <v>17</v>
      </c>
      <c r="AY3" s="3" t="s">
        <v>18</v>
      </c>
      <c r="AZ3" s="3" t="s">
        <v>19</v>
      </c>
      <c r="BA3" s="3" t="s">
        <v>51</v>
      </c>
      <c r="BB3" s="3" t="s">
        <v>50</v>
      </c>
      <c r="BC3" s="3" t="s">
        <v>52</v>
      </c>
      <c r="BD3" s="3" t="s">
        <v>20</v>
      </c>
      <c r="BE3" s="3" t="s">
        <v>21</v>
      </c>
      <c r="BF3" s="3" t="s">
        <v>25</v>
      </c>
      <c r="BG3" s="3" t="s">
        <v>32</v>
      </c>
      <c r="BI3" s="2" t="s">
        <v>2</v>
      </c>
      <c r="BJ3" s="3" t="s">
        <v>12</v>
      </c>
      <c r="BK3" s="3" t="s">
        <v>13</v>
      </c>
      <c r="BL3" s="3" t="s">
        <v>14</v>
      </c>
      <c r="BM3" s="3" t="s">
        <v>53</v>
      </c>
      <c r="BN3" s="3" t="s">
        <v>15</v>
      </c>
      <c r="BO3" s="3" t="s">
        <v>56</v>
      </c>
      <c r="BP3" s="3" t="s">
        <v>57</v>
      </c>
      <c r="BQ3" s="3" t="s">
        <v>16</v>
      </c>
      <c r="BR3" s="3" t="s">
        <v>17</v>
      </c>
      <c r="BS3" s="3" t="s">
        <v>18</v>
      </c>
      <c r="BT3" s="3" t="s">
        <v>19</v>
      </c>
      <c r="BU3" s="3" t="s">
        <v>51</v>
      </c>
      <c r="BV3" s="3" t="s">
        <v>50</v>
      </c>
      <c r="BW3" s="3" t="s">
        <v>52</v>
      </c>
      <c r="BX3" s="3" t="s">
        <v>20</v>
      </c>
      <c r="BY3" s="3" t="s">
        <v>21</v>
      </c>
      <c r="BZ3" s="3" t="s">
        <v>25</v>
      </c>
      <c r="CA3" s="3" t="s">
        <v>32</v>
      </c>
      <c r="CC3" s="2" t="s">
        <v>2</v>
      </c>
      <c r="CD3" s="3" t="s">
        <v>12</v>
      </c>
      <c r="CE3" s="3" t="s">
        <v>13</v>
      </c>
      <c r="CF3" s="3" t="s">
        <v>14</v>
      </c>
      <c r="CG3" s="3" t="s">
        <v>53</v>
      </c>
      <c r="CH3" s="3" t="s">
        <v>15</v>
      </c>
      <c r="CI3" s="3" t="s">
        <v>56</v>
      </c>
      <c r="CJ3" s="3" t="s">
        <v>57</v>
      </c>
      <c r="CK3" s="3" t="s">
        <v>16</v>
      </c>
      <c r="CL3" s="3" t="s">
        <v>17</v>
      </c>
      <c r="CM3" s="3" t="s">
        <v>18</v>
      </c>
      <c r="CN3" s="3" t="s">
        <v>19</v>
      </c>
      <c r="CO3" s="3" t="s">
        <v>51</v>
      </c>
      <c r="CP3" s="3" t="s">
        <v>50</v>
      </c>
      <c r="CQ3" s="3" t="s">
        <v>52</v>
      </c>
      <c r="CR3" s="3" t="s">
        <v>20</v>
      </c>
      <c r="CS3" s="3" t="s">
        <v>21</v>
      </c>
      <c r="CT3" s="3" t="s">
        <v>25</v>
      </c>
      <c r="CU3" s="3" t="s">
        <v>32</v>
      </c>
      <c r="CW3" s="2" t="s">
        <v>2</v>
      </c>
      <c r="CX3" s="3" t="s">
        <v>12</v>
      </c>
      <c r="CY3" s="3" t="s">
        <v>13</v>
      </c>
      <c r="CZ3" s="3" t="s">
        <v>14</v>
      </c>
      <c r="DA3" s="3" t="s">
        <v>53</v>
      </c>
      <c r="DB3" s="3" t="s">
        <v>15</v>
      </c>
      <c r="DC3" s="3" t="s">
        <v>56</v>
      </c>
      <c r="DD3" s="3" t="s">
        <v>57</v>
      </c>
      <c r="DE3" s="3" t="s">
        <v>16</v>
      </c>
      <c r="DF3" s="3" t="s">
        <v>17</v>
      </c>
      <c r="DG3" s="3" t="s">
        <v>18</v>
      </c>
      <c r="DH3" s="3" t="s">
        <v>19</v>
      </c>
      <c r="DI3" s="3" t="s">
        <v>51</v>
      </c>
      <c r="DJ3" s="3" t="s">
        <v>50</v>
      </c>
      <c r="DK3" s="3" t="s">
        <v>52</v>
      </c>
      <c r="DL3" s="3" t="s">
        <v>20</v>
      </c>
      <c r="DM3" s="3" t="s">
        <v>21</v>
      </c>
      <c r="DN3" s="3" t="s">
        <v>25</v>
      </c>
      <c r="DO3" s="3" t="s">
        <v>32</v>
      </c>
      <c r="DQ3" s="2" t="s">
        <v>2</v>
      </c>
      <c r="DR3" s="3" t="s">
        <v>12</v>
      </c>
      <c r="DS3" s="3" t="s">
        <v>13</v>
      </c>
      <c r="DT3" s="3" t="s">
        <v>14</v>
      </c>
      <c r="DU3" s="3" t="s">
        <v>53</v>
      </c>
      <c r="DV3" s="3" t="s">
        <v>15</v>
      </c>
      <c r="DW3" s="3" t="s">
        <v>56</v>
      </c>
      <c r="DX3" s="3" t="s">
        <v>57</v>
      </c>
      <c r="DY3" s="3" t="s">
        <v>16</v>
      </c>
      <c r="DZ3" s="3" t="s">
        <v>17</v>
      </c>
      <c r="EA3" s="3" t="s">
        <v>18</v>
      </c>
      <c r="EB3" s="3" t="s">
        <v>19</v>
      </c>
      <c r="EC3" s="3" t="s">
        <v>51</v>
      </c>
      <c r="ED3" s="3" t="s">
        <v>50</v>
      </c>
      <c r="EE3" s="3" t="s">
        <v>52</v>
      </c>
      <c r="EF3" s="3" t="s">
        <v>20</v>
      </c>
      <c r="EG3" s="3" t="s">
        <v>21</v>
      </c>
      <c r="EH3" s="3" t="s">
        <v>25</v>
      </c>
      <c r="EI3" s="3" t="s">
        <v>32</v>
      </c>
      <c r="EK3" s="2" t="s">
        <v>2</v>
      </c>
      <c r="EL3" s="3" t="s">
        <v>12</v>
      </c>
      <c r="EM3" s="3" t="s">
        <v>13</v>
      </c>
      <c r="EN3" s="3" t="s">
        <v>14</v>
      </c>
      <c r="EO3" s="3" t="s">
        <v>53</v>
      </c>
      <c r="EP3" s="3" t="s">
        <v>15</v>
      </c>
      <c r="EQ3" s="3" t="s">
        <v>56</v>
      </c>
      <c r="ER3" s="3" t="s">
        <v>57</v>
      </c>
      <c r="ES3" s="3" t="s">
        <v>16</v>
      </c>
      <c r="ET3" s="3" t="s">
        <v>17</v>
      </c>
      <c r="EU3" s="3" t="s">
        <v>18</v>
      </c>
      <c r="EV3" s="3" t="s">
        <v>19</v>
      </c>
      <c r="EW3" s="3" t="s">
        <v>51</v>
      </c>
      <c r="EX3" s="3" t="s">
        <v>50</v>
      </c>
      <c r="EY3" s="3" t="s">
        <v>52</v>
      </c>
      <c r="EZ3" s="3" t="s">
        <v>20</v>
      </c>
      <c r="FA3" s="3" t="s">
        <v>21</v>
      </c>
      <c r="FB3" s="3" t="s">
        <v>25</v>
      </c>
      <c r="FC3" s="3" t="s">
        <v>32</v>
      </c>
      <c r="FE3" s="2" t="s">
        <v>2</v>
      </c>
      <c r="FF3" s="3" t="s">
        <v>12</v>
      </c>
      <c r="FG3" s="3" t="s">
        <v>13</v>
      </c>
      <c r="FH3" s="3" t="s">
        <v>14</v>
      </c>
      <c r="FI3" s="3" t="s">
        <v>53</v>
      </c>
      <c r="FJ3" s="3" t="s">
        <v>15</v>
      </c>
      <c r="FK3" s="3" t="s">
        <v>56</v>
      </c>
      <c r="FL3" s="3" t="s">
        <v>57</v>
      </c>
      <c r="FM3" s="3" t="s">
        <v>16</v>
      </c>
      <c r="FN3" s="3" t="s">
        <v>17</v>
      </c>
      <c r="FO3" s="3" t="s">
        <v>18</v>
      </c>
      <c r="FP3" s="3" t="s">
        <v>19</v>
      </c>
      <c r="FQ3" s="3" t="s">
        <v>51</v>
      </c>
      <c r="FR3" s="3" t="s">
        <v>50</v>
      </c>
      <c r="FS3" s="3" t="s">
        <v>52</v>
      </c>
      <c r="FT3" s="3" t="s">
        <v>20</v>
      </c>
      <c r="FU3" s="3" t="s">
        <v>21</v>
      </c>
      <c r="FV3" s="3" t="s">
        <v>25</v>
      </c>
      <c r="FW3" s="3" t="s">
        <v>32</v>
      </c>
    </row>
    <row r="4" spans="1:179" x14ac:dyDescent="0.35">
      <c r="A4" s="9">
        <v>41274</v>
      </c>
      <c r="B4" s="2" t="e">
        <f ca="1">[1]!WSD(B1,B3:S3,#REF!,#REF!,"unit=1","industryType=6","industryStandard=1","Per=FY","Days=Alldays","TradingCalendar=SSE","rptType=1","Version=1","ShowParams=Y","UnitMask=14239","cols=18;rows=13")</f>
        <v>#NAME?</v>
      </c>
      <c r="C4" s="6"/>
      <c r="D4" s="6">
        <v>2914000000</v>
      </c>
      <c r="E4" s="6">
        <v>3042000000</v>
      </c>
      <c r="F4" s="6"/>
      <c r="G4" s="6"/>
      <c r="H4" s="6"/>
      <c r="I4" s="6">
        <v>3768000000</v>
      </c>
      <c r="J4" s="6"/>
      <c r="K4" s="6"/>
      <c r="L4" s="6"/>
      <c r="M4" s="6"/>
      <c r="N4" s="6"/>
      <c r="O4" s="6"/>
      <c r="P4" s="7" t="s">
        <v>23</v>
      </c>
      <c r="Q4" s="7" t="s">
        <v>33</v>
      </c>
      <c r="R4" s="6"/>
      <c r="S4" s="7" t="s">
        <v>34</v>
      </c>
      <c r="U4" s="9">
        <v>41274</v>
      </c>
      <c r="V4" s="2" t="e">
        <f ca="1">[1]!WSD(V1,V3:AM3,#REF!,#REF!,"unit=1","industryType=6","industryStandard=1","Per=FY","Days=Alldays","TradingCalendar=SSE","rptType=1","Version=1","ShowParams=Y","UnitMask=14239","cols=18;rows=13")</f>
        <v>#NAME?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7" t="s">
        <v>70</v>
      </c>
      <c r="AK4" s="7" t="s">
        <v>33</v>
      </c>
      <c r="AL4" s="6"/>
      <c r="AM4" s="7" t="s">
        <v>71</v>
      </c>
      <c r="AO4" s="1">
        <v>41274</v>
      </c>
      <c r="AP4" s="2" t="e">
        <f ca="1">[1]!WSD(AP1,AP3:BG3,#REF!,#REF!,"unit=1","industryType=6","industryStandard=1","Per=FY","Days=Alldays","TradingCalendar=SSE","rptType=1","Version=1","ShowParams=Y","UnitMask=14239","cols=18;rows=13")</f>
        <v>#NAME?</v>
      </c>
      <c r="AQ4" s="6">
        <v>8016658683</v>
      </c>
      <c r="AR4" s="6"/>
      <c r="AS4" s="6"/>
      <c r="AT4" s="6"/>
      <c r="AU4" s="6"/>
      <c r="AV4" s="6"/>
      <c r="AW4" s="6"/>
      <c r="AX4" s="6"/>
      <c r="AY4" s="6"/>
      <c r="AZ4" s="6"/>
      <c r="BA4" s="6">
        <v>58.3</v>
      </c>
      <c r="BB4" s="6"/>
      <c r="BC4" s="6">
        <v>8016658683</v>
      </c>
      <c r="BD4" s="7" t="s">
        <v>26</v>
      </c>
      <c r="BE4" s="7" t="s">
        <v>33</v>
      </c>
      <c r="BF4" s="6"/>
      <c r="BG4" s="7" t="s">
        <v>67</v>
      </c>
      <c r="BI4" s="1">
        <v>41274</v>
      </c>
      <c r="BJ4" s="2" t="e">
        <f ca="1">[1]!WSD(BJ1,BJ3:CA3,#REF!,#REF!,"unit=1","industryType=6","industryStandard=1","Per=FY","Days=Alldays","TradingCalendar=SSE","rptType=1","Version=1","ShowParams=Y","UnitMask=14239","cols=18;rows=13")</f>
        <v>#NAME?</v>
      </c>
      <c r="BK4" s="6">
        <v>3216899332.8000002</v>
      </c>
      <c r="BL4" s="6"/>
      <c r="BM4" s="6"/>
      <c r="BN4" s="6"/>
      <c r="BO4" s="6"/>
      <c r="BP4" s="6"/>
      <c r="BQ4" s="6"/>
      <c r="BR4" s="6"/>
      <c r="BS4" s="6"/>
      <c r="BT4" s="6"/>
      <c r="BU4" s="6">
        <v>34.200000000000003</v>
      </c>
      <c r="BV4" s="6"/>
      <c r="BW4" s="6">
        <v>3216899332.8000002</v>
      </c>
      <c r="BX4" s="7" t="s">
        <v>26</v>
      </c>
      <c r="BY4" s="7" t="s">
        <v>33</v>
      </c>
      <c r="BZ4" s="6"/>
      <c r="CA4" s="7" t="s">
        <v>66</v>
      </c>
      <c r="CC4" s="1">
        <v>41274</v>
      </c>
      <c r="CD4" s="2" t="e">
        <f ca="1">[1]!WSD(CD1,CD3:CU3,#REF!,#REF!,"unit=1","industryType=6","industryStandard=1","Per=FY","Days=Alldays","TradingCalendar=SSE","rptType=1","Version=1","ShowParams=Y","UnitMask=14239","cols=18;rows=13")</f>
        <v>#NAME?</v>
      </c>
      <c r="CE4" s="6">
        <v>4401764387.6800003</v>
      </c>
      <c r="CF4" s="6">
        <v>-1466000000</v>
      </c>
      <c r="CG4" s="6">
        <v>-613000000</v>
      </c>
      <c r="CH4" s="6"/>
      <c r="CI4" s="6"/>
      <c r="CJ4" s="6"/>
      <c r="CK4" s="6">
        <v>41567000000</v>
      </c>
      <c r="CL4" s="6"/>
      <c r="CM4" s="6"/>
      <c r="CN4" s="6"/>
      <c r="CO4" s="6">
        <v>41.36</v>
      </c>
      <c r="CP4" s="6"/>
      <c r="CQ4" s="6">
        <v>4401764387.6800003</v>
      </c>
      <c r="CR4" s="8"/>
      <c r="CS4" s="7" t="s">
        <v>33</v>
      </c>
      <c r="CT4" s="6"/>
      <c r="CU4" s="7" t="s">
        <v>69</v>
      </c>
      <c r="CW4" s="1">
        <v>41274</v>
      </c>
      <c r="CX4" s="2" t="e">
        <f ca="1">[1]!WSD(CX1,CX3:DO3,#REF!,#REF!,"unit=1","industryType=6","industryStandard=1","Per=FY","Days=Alldays","TradingCalendar=SSE","rptType=1","Version=1","ShowParams=Y","UnitMask=14239","cols=18;rows=13")</f>
        <v>#NAME?</v>
      </c>
      <c r="CY4" s="6">
        <v>682823300</v>
      </c>
      <c r="CZ4" s="6"/>
      <c r="DA4" s="6"/>
      <c r="DB4" s="6"/>
      <c r="DC4" s="6"/>
      <c r="DD4" s="6"/>
      <c r="DE4" s="6"/>
      <c r="DF4" s="6"/>
      <c r="DG4" s="6"/>
      <c r="DH4" s="6"/>
      <c r="DI4" s="6">
        <v>8.15</v>
      </c>
      <c r="DJ4" s="6"/>
      <c r="DK4" s="6">
        <v>682823300</v>
      </c>
      <c r="DL4" s="7" t="s">
        <v>26</v>
      </c>
      <c r="DM4" s="7" t="s">
        <v>33</v>
      </c>
      <c r="DN4" s="6"/>
      <c r="DO4" s="7" t="s">
        <v>73</v>
      </c>
      <c r="DQ4" s="1">
        <v>41274</v>
      </c>
      <c r="DR4" s="2" t="e">
        <f ca="1">[1]!WSD(DR1,DR3:EI3,#REF!,#REF!,"unit=1","industryType=6","industryStandard=1","Per=FY","Days=Alldays","TradingCalendar=SSE","rptType=1","Version=1","ShowParams=Y","UnitMask=14239","cols=18;rows=13")</f>
        <v>#NAME?</v>
      </c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7" t="s">
        <v>23</v>
      </c>
      <c r="EG4" s="7" t="s">
        <v>33</v>
      </c>
      <c r="EH4" s="6"/>
      <c r="EI4" s="7" t="s">
        <v>72</v>
      </c>
      <c r="EK4" s="1">
        <v>41274</v>
      </c>
      <c r="EL4" s="2" t="e">
        <f ca="1">[1]!WSD(EL1,EL3:FC3,#REF!,#REF!,"unit=1","industryType=6","industryStandard=1","Per=FY","Days=Alldays","TradingCalendar=SSE","rptType=1","Version=1","ShowParams=Y","UnitMask=14239","cols=18;rows=13")</f>
        <v>#NAME?</v>
      </c>
      <c r="EM4" s="6">
        <v>2913643481.77</v>
      </c>
      <c r="EN4" s="6"/>
      <c r="EO4" s="6"/>
      <c r="EP4" s="6"/>
      <c r="EQ4" s="6"/>
      <c r="ER4" s="6"/>
      <c r="ES4" s="6"/>
      <c r="ET4" s="6"/>
      <c r="EU4" s="6"/>
      <c r="EV4" s="6"/>
      <c r="EW4" s="6">
        <v>16.149999999999999</v>
      </c>
      <c r="EX4" s="6"/>
      <c r="EY4" s="6">
        <v>2916883525.4499998</v>
      </c>
      <c r="EZ4" s="7" t="s">
        <v>26</v>
      </c>
      <c r="FA4" s="7" t="s">
        <v>33</v>
      </c>
      <c r="FB4" s="6"/>
      <c r="FC4" s="7" t="s">
        <v>68</v>
      </c>
      <c r="FE4" s="1">
        <v>41274</v>
      </c>
      <c r="FF4" s="2" t="e">
        <f ca="1">[1]!WSD(FF1,FF3:FW3,#REF!,#REF!,"unit=1","industryType=6","industryStandard=1","Per=FY","Days=Alldays","TradingCalendar=SSE","rptType=1","Version=1","ShowParams=Y","UnitMask=14239","cols=18;rows=13")</f>
        <v>#NAME?</v>
      </c>
      <c r="FG4" s="6">
        <v>1327456437.1199999</v>
      </c>
      <c r="FH4" s="6"/>
      <c r="FI4" s="6"/>
      <c r="FJ4" s="6"/>
      <c r="FK4" s="6"/>
      <c r="FL4" s="6"/>
      <c r="FM4" s="6"/>
      <c r="FN4" s="6"/>
      <c r="FO4" s="6"/>
      <c r="FP4" s="6"/>
      <c r="FQ4" s="6">
        <v>15.84</v>
      </c>
      <c r="FR4" s="6"/>
      <c r="FS4" s="6">
        <v>1327456437.1199999</v>
      </c>
      <c r="FT4" s="7" t="s">
        <v>26</v>
      </c>
      <c r="FU4" s="7" t="s">
        <v>33</v>
      </c>
      <c r="FV4" s="6"/>
      <c r="FW4" s="7" t="s">
        <v>74</v>
      </c>
    </row>
    <row r="5" spans="1:179" x14ac:dyDescent="0.35">
      <c r="A5" s="9">
        <v>41639</v>
      </c>
      <c r="B5" s="6"/>
      <c r="C5" s="6">
        <v>2045063426.3878422</v>
      </c>
      <c r="D5" s="6">
        <v>2517000000</v>
      </c>
      <c r="E5" s="6">
        <v>2705000000</v>
      </c>
      <c r="F5" s="6"/>
      <c r="G5" s="6"/>
      <c r="H5" s="6"/>
      <c r="I5" s="6">
        <v>4287000000</v>
      </c>
      <c r="J5" s="6"/>
      <c r="K5" s="6"/>
      <c r="L5" s="6"/>
      <c r="M5" s="6">
        <v>19.940000000000001</v>
      </c>
      <c r="N5" s="6"/>
      <c r="O5" s="6">
        <v>2044291092.7400002</v>
      </c>
      <c r="P5" s="7" t="s">
        <v>26</v>
      </c>
      <c r="Q5" s="7" t="s">
        <v>33</v>
      </c>
      <c r="R5" s="6"/>
      <c r="S5" s="7" t="s">
        <v>34</v>
      </c>
      <c r="U5" s="9">
        <v>41639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7" t="s">
        <v>70</v>
      </c>
      <c r="AK5" s="7" t="s">
        <v>33</v>
      </c>
      <c r="AL5" s="6"/>
      <c r="AM5" s="7" t="s">
        <v>71</v>
      </c>
      <c r="AO5" s="1">
        <v>41639</v>
      </c>
      <c r="AP5" s="6"/>
      <c r="AQ5" s="6">
        <v>8287806591.8699999</v>
      </c>
      <c r="AR5" s="6"/>
      <c r="AS5" s="6"/>
      <c r="AT5" s="6"/>
      <c r="AU5" s="6"/>
      <c r="AV5" s="6"/>
      <c r="AW5" s="6"/>
      <c r="AX5" s="6"/>
      <c r="AY5" s="6"/>
      <c r="AZ5" s="6"/>
      <c r="BA5" s="6">
        <v>58.89</v>
      </c>
      <c r="BB5" s="6"/>
      <c r="BC5" s="6">
        <v>8287806591.8699999</v>
      </c>
      <c r="BD5" s="7" t="s">
        <v>26</v>
      </c>
      <c r="BE5" s="7" t="s">
        <v>33</v>
      </c>
      <c r="BF5" s="6"/>
      <c r="BG5" s="7" t="s">
        <v>67</v>
      </c>
      <c r="BI5" s="1">
        <v>41639</v>
      </c>
      <c r="BJ5" s="6"/>
      <c r="BK5" s="6">
        <v>3026072033.7000003</v>
      </c>
      <c r="BL5" s="6"/>
      <c r="BM5" s="6"/>
      <c r="BN5" s="6"/>
      <c r="BO5" s="6"/>
      <c r="BP5" s="6"/>
      <c r="BQ5" s="6"/>
      <c r="BR5" s="6"/>
      <c r="BS5" s="6"/>
      <c r="BT5" s="6"/>
      <c r="BU5" s="6">
        <v>32.020000000000003</v>
      </c>
      <c r="BV5" s="6"/>
      <c r="BW5" s="6">
        <v>3026072033.7000003</v>
      </c>
      <c r="BX5" s="7" t="s">
        <v>26</v>
      </c>
      <c r="BY5" s="7" t="s">
        <v>33</v>
      </c>
      <c r="BZ5" s="6"/>
      <c r="CA5" s="7" t="s">
        <v>66</v>
      </c>
      <c r="CC5" s="1">
        <v>41639</v>
      </c>
      <c r="CD5" s="6"/>
      <c r="CE5" s="6">
        <v>5220378568.5599995</v>
      </c>
      <c r="CF5" s="6">
        <v>-750000000</v>
      </c>
      <c r="CG5" s="6">
        <v>80000000</v>
      </c>
      <c r="CH5" s="6"/>
      <c r="CI5" s="6"/>
      <c r="CJ5" s="6"/>
      <c r="CK5" s="6">
        <v>39854000000</v>
      </c>
      <c r="CL5" s="6"/>
      <c r="CM5" s="6"/>
      <c r="CN5" s="6"/>
      <c r="CO5" s="6">
        <v>49.04</v>
      </c>
      <c r="CP5" s="6"/>
      <c r="CQ5" s="6">
        <v>5220378568.5599995</v>
      </c>
      <c r="CR5" s="8"/>
      <c r="CS5" s="7" t="s">
        <v>33</v>
      </c>
      <c r="CT5" s="6"/>
      <c r="CU5" s="7" t="s">
        <v>69</v>
      </c>
      <c r="CW5" s="1">
        <v>41639</v>
      </c>
      <c r="CX5" s="6"/>
      <c r="CY5" s="6">
        <v>1194641590</v>
      </c>
      <c r="CZ5" s="6"/>
      <c r="DA5" s="6"/>
      <c r="DB5" s="6"/>
      <c r="DC5" s="6"/>
      <c r="DD5" s="6"/>
      <c r="DE5" s="6"/>
      <c r="DF5" s="6"/>
      <c r="DG5" s="6"/>
      <c r="DH5" s="6"/>
      <c r="DI5" s="6">
        <v>14.27</v>
      </c>
      <c r="DJ5" s="6"/>
      <c r="DK5" s="6">
        <v>1194641590</v>
      </c>
      <c r="DL5" s="7" t="s">
        <v>26</v>
      </c>
      <c r="DM5" s="7" t="s">
        <v>33</v>
      </c>
      <c r="DN5" s="6"/>
      <c r="DO5" s="7" t="s">
        <v>73</v>
      </c>
      <c r="DQ5" s="1">
        <v>41639</v>
      </c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7" t="s">
        <v>23</v>
      </c>
      <c r="EG5" s="7" t="s">
        <v>33</v>
      </c>
      <c r="EH5" s="6"/>
      <c r="EI5" s="7" t="s">
        <v>72</v>
      </c>
      <c r="EK5" s="1">
        <v>41639</v>
      </c>
      <c r="EL5" s="6"/>
      <c r="EM5" s="6">
        <v>3773222567.6400003</v>
      </c>
      <c r="EN5" s="6"/>
      <c r="EO5" s="6"/>
      <c r="EP5" s="6"/>
      <c r="EQ5" s="6"/>
      <c r="ER5" s="6"/>
      <c r="ES5" s="6"/>
      <c r="ET5" s="6"/>
      <c r="EU5" s="6"/>
      <c r="EV5" s="6"/>
      <c r="EW5" s="6">
        <v>19.100000000000001</v>
      </c>
      <c r="EX5" s="6"/>
      <c r="EY5" s="6">
        <v>3776652072.5000005</v>
      </c>
      <c r="EZ5" s="7" t="s">
        <v>26</v>
      </c>
      <c r="FA5" s="7" t="s">
        <v>33</v>
      </c>
      <c r="FB5" s="6"/>
      <c r="FC5" s="7" t="s">
        <v>68</v>
      </c>
      <c r="FE5" s="1">
        <v>41639</v>
      </c>
      <c r="FF5" s="6"/>
      <c r="FG5" s="6">
        <v>2759599058.5799999</v>
      </c>
      <c r="FH5" s="6"/>
      <c r="FI5" s="6"/>
      <c r="FJ5" s="6"/>
      <c r="FK5" s="6"/>
      <c r="FL5" s="6"/>
      <c r="FM5" s="6"/>
      <c r="FN5" s="6"/>
      <c r="FO5" s="6"/>
      <c r="FP5" s="6"/>
      <c r="FQ5" s="6">
        <v>23.31</v>
      </c>
      <c r="FR5" s="6"/>
      <c r="FS5" s="6">
        <v>2759599058.5799999</v>
      </c>
      <c r="FT5" s="7" t="s">
        <v>26</v>
      </c>
      <c r="FU5" s="7" t="s">
        <v>33</v>
      </c>
      <c r="FV5" s="6"/>
      <c r="FW5" s="7" t="s">
        <v>74</v>
      </c>
    </row>
    <row r="6" spans="1:179" x14ac:dyDescent="0.35">
      <c r="A6" s="9">
        <v>42004</v>
      </c>
      <c r="B6" s="6"/>
      <c r="C6" s="6">
        <v>5591559845.2242718</v>
      </c>
      <c r="D6" s="6">
        <v>5488000000</v>
      </c>
      <c r="E6" s="6">
        <v>5636000000</v>
      </c>
      <c r="F6" s="6"/>
      <c r="G6" s="6"/>
      <c r="H6" s="6"/>
      <c r="I6" s="6">
        <v>4373000000</v>
      </c>
      <c r="J6" s="6"/>
      <c r="K6" s="6"/>
      <c r="L6" s="6"/>
      <c r="M6" s="6">
        <v>22.87</v>
      </c>
      <c r="N6" s="6"/>
      <c r="O6" s="6">
        <v>5607771272.29</v>
      </c>
      <c r="P6" s="7" t="s">
        <v>26</v>
      </c>
      <c r="Q6" s="7" t="s">
        <v>33</v>
      </c>
      <c r="R6" s="6"/>
      <c r="S6" s="7" t="s">
        <v>34</v>
      </c>
      <c r="U6" s="9">
        <v>42004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7" t="s">
        <v>70</v>
      </c>
      <c r="AK6" s="7" t="s">
        <v>33</v>
      </c>
      <c r="AL6" s="6"/>
      <c r="AM6" s="7" t="s">
        <v>71</v>
      </c>
      <c r="AO6" s="1">
        <v>42004</v>
      </c>
      <c r="AP6" s="6"/>
      <c r="AQ6" s="6">
        <v>13195628486.359999</v>
      </c>
      <c r="AR6" s="6"/>
      <c r="AS6" s="6"/>
      <c r="AT6" s="6"/>
      <c r="AU6" s="6"/>
      <c r="AV6" s="6"/>
      <c r="AW6" s="6"/>
      <c r="AX6" s="6"/>
      <c r="AY6" s="6"/>
      <c r="AZ6" s="6"/>
      <c r="BA6" s="6">
        <v>83.41</v>
      </c>
      <c r="BB6" s="6"/>
      <c r="BC6" s="6">
        <v>13195628486.359999</v>
      </c>
      <c r="BD6" s="7" t="s">
        <v>26</v>
      </c>
      <c r="BE6" s="7" t="s">
        <v>33</v>
      </c>
      <c r="BF6" s="6"/>
      <c r="BG6" s="7" t="s">
        <v>67</v>
      </c>
      <c r="BI6" s="1">
        <v>42004</v>
      </c>
      <c r="BJ6" s="6"/>
      <c r="BK6" s="6">
        <v>3530041505.7600002</v>
      </c>
      <c r="BL6" s="6"/>
      <c r="BM6" s="6"/>
      <c r="BN6" s="6"/>
      <c r="BO6" s="6"/>
      <c r="BP6" s="6"/>
      <c r="BQ6" s="6"/>
      <c r="BR6" s="6"/>
      <c r="BS6" s="6"/>
      <c r="BT6" s="6"/>
      <c r="BU6" s="6">
        <v>36.96</v>
      </c>
      <c r="BV6" s="6"/>
      <c r="BW6" s="6">
        <v>3530041505.7600002</v>
      </c>
      <c r="BX6" s="7" t="s">
        <v>26</v>
      </c>
      <c r="BY6" s="7" t="s">
        <v>33</v>
      </c>
      <c r="BZ6" s="6"/>
      <c r="CA6" s="7" t="s">
        <v>66</v>
      </c>
      <c r="CC6" s="1">
        <v>42004</v>
      </c>
      <c r="CD6" s="6"/>
      <c r="CE6" s="6">
        <v>3512624011.9599996</v>
      </c>
      <c r="CF6" s="6">
        <v>-722000000</v>
      </c>
      <c r="CG6" s="6">
        <v>10000000</v>
      </c>
      <c r="CH6" s="6"/>
      <c r="CI6" s="6"/>
      <c r="CJ6" s="6"/>
      <c r="CK6" s="6">
        <v>36188000000</v>
      </c>
      <c r="CL6" s="6"/>
      <c r="CM6" s="6"/>
      <c r="CN6" s="6"/>
      <c r="CO6" s="6">
        <v>32.979999999999997</v>
      </c>
      <c r="CP6" s="6"/>
      <c r="CQ6" s="6">
        <v>3512624011.96</v>
      </c>
      <c r="CR6" s="8"/>
      <c r="CS6" s="7" t="s">
        <v>33</v>
      </c>
      <c r="CT6" s="6"/>
      <c r="CU6" s="7" t="s">
        <v>69</v>
      </c>
      <c r="CW6" s="1">
        <v>42004</v>
      </c>
      <c r="CX6" s="6"/>
      <c r="CY6" s="6">
        <v>1162857150</v>
      </c>
      <c r="CZ6" s="6"/>
      <c r="DA6" s="6"/>
      <c r="DB6" s="6"/>
      <c r="DC6" s="6"/>
      <c r="DD6" s="6"/>
      <c r="DE6" s="6"/>
      <c r="DF6" s="6"/>
      <c r="DG6" s="6"/>
      <c r="DH6" s="6"/>
      <c r="DI6" s="6">
        <v>13.65</v>
      </c>
      <c r="DJ6" s="6"/>
      <c r="DK6" s="6">
        <v>1162857150</v>
      </c>
      <c r="DL6" s="7" t="s">
        <v>26</v>
      </c>
      <c r="DM6" s="7" t="s">
        <v>33</v>
      </c>
      <c r="DN6" s="6"/>
      <c r="DO6" s="7" t="s">
        <v>73</v>
      </c>
      <c r="DQ6" s="1">
        <v>42004</v>
      </c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7" t="s">
        <v>23</v>
      </c>
      <c r="EG6" s="7" t="s">
        <v>33</v>
      </c>
      <c r="EH6" s="6"/>
      <c r="EI6" s="7" t="s">
        <v>72</v>
      </c>
      <c r="EK6" s="1">
        <v>42004</v>
      </c>
      <c r="EL6" s="6"/>
      <c r="EM6" s="6">
        <v>4238881930.3800001</v>
      </c>
      <c r="EN6" s="6"/>
      <c r="EO6" s="6"/>
      <c r="EP6" s="6"/>
      <c r="EQ6" s="6"/>
      <c r="ER6" s="6"/>
      <c r="ES6" s="6"/>
      <c r="ET6" s="6"/>
      <c r="EU6" s="6"/>
      <c r="EV6" s="6"/>
      <c r="EW6" s="6">
        <v>21.3</v>
      </c>
      <c r="EX6" s="6"/>
      <c r="EY6" s="6">
        <v>4238113589.6999993</v>
      </c>
      <c r="EZ6" s="7" t="s">
        <v>26</v>
      </c>
      <c r="FA6" s="7" t="s">
        <v>33</v>
      </c>
      <c r="FB6" s="6"/>
      <c r="FC6" s="7" t="s">
        <v>68</v>
      </c>
      <c r="FE6" s="1">
        <v>42004</v>
      </c>
      <c r="FF6" s="6"/>
      <c r="FG6" s="6">
        <v>3327018851.9300003</v>
      </c>
      <c r="FH6" s="6"/>
      <c r="FI6" s="6"/>
      <c r="FJ6" s="6"/>
      <c r="FK6" s="6"/>
      <c r="FL6" s="6"/>
      <c r="FM6" s="6"/>
      <c r="FN6" s="6"/>
      <c r="FO6" s="6"/>
      <c r="FP6" s="6"/>
      <c r="FQ6" s="6">
        <v>25.67</v>
      </c>
      <c r="FR6" s="6"/>
      <c r="FS6" s="6">
        <v>3327018851.9300003</v>
      </c>
      <c r="FT6" s="7" t="s">
        <v>26</v>
      </c>
      <c r="FU6" s="7" t="s">
        <v>33</v>
      </c>
      <c r="FV6" s="6"/>
      <c r="FW6" s="7" t="s">
        <v>74</v>
      </c>
    </row>
    <row r="7" spans="1:179" x14ac:dyDescent="0.35">
      <c r="A7" s="9">
        <v>42369</v>
      </c>
      <c r="B7" s="6"/>
      <c r="C7" s="6">
        <v>6097008576.8844366</v>
      </c>
      <c r="D7" s="6">
        <v>8169000000</v>
      </c>
      <c r="E7" s="6"/>
      <c r="F7" s="6"/>
      <c r="G7" s="6"/>
      <c r="H7" s="6"/>
      <c r="I7" s="6">
        <v>4853000000</v>
      </c>
      <c r="J7" s="6"/>
      <c r="K7" s="6"/>
      <c r="L7" s="6"/>
      <c r="M7" s="6">
        <v>23.24</v>
      </c>
      <c r="N7" s="6"/>
      <c r="O7" s="6">
        <v>6100103107.2799997</v>
      </c>
      <c r="P7" s="7" t="s">
        <v>26</v>
      </c>
      <c r="Q7" s="7" t="s">
        <v>33</v>
      </c>
      <c r="R7" s="6"/>
      <c r="S7" s="7" t="s">
        <v>34</v>
      </c>
      <c r="U7" s="9">
        <v>42369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7" t="s">
        <v>70</v>
      </c>
      <c r="AK7" s="7" t="s">
        <v>33</v>
      </c>
      <c r="AL7" s="6"/>
      <c r="AM7" s="7" t="s">
        <v>71</v>
      </c>
      <c r="AO7" s="1">
        <v>42369</v>
      </c>
      <c r="AP7" s="6"/>
      <c r="AQ7" s="6">
        <v>12458938320.34</v>
      </c>
      <c r="AR7" s="6"/>
      <c r="AS7" s="6"/>
      <c r="AT7" s="6"/>
      <c r="AU7" s="6"/>
      <c r="AV7" s="6"/>
      <c r="AW7" s="6"/>
      <c r="AX7" s="6"/>
      <c r="AY7" s="6"/>
      <c r="AZ7" s="6"/>
      <c r="BA7" s="6">
        <v>80.69</v>
      </c>
      <c r="BB7" s="6"/>
      <c r="BC7" s="6">
        <v>12458938320.34</v>
      </c>
      <c r="BD7" s="7" t="s">
        <v>26</v>
      </c>
      <c r="BE7" s="7" t="s">
        <v>33</v>
      </c>
      <c r="BF7" s="6"/>
      <c r="BG7" s="7" t="s">
        <v>67</v>
      </c>
      <c r="BI7" s="1">
        <v>42369</v>
      </c>
      <c r="BJ7" s="6"/>
      <c r="BK7" s="6">
        <v>3135302977.5000005</v>
      </c>
      <c r="BL7" s="6"/>
      <c r="BM7" s="6"/>
      <c r="BN7" s="6"/>
      <c r="BO7" s="6"/>
      <c r="BP7" s="6"/>
      <c r="BQ7" s="6"/>
      <c r="BR7" s="6"/>
      <c r="BS7" s="6"/>
      <c r="BT7" s="6"/>
      <c r="BU7" s="6">
        <v>32.700000000000003</v>
      </c>
      <c r="BV7" s="6"/>
      <c r="BW7" s="6">
        <v>3135302977.5000005</v>
      </c>
      <c r="BX7" s="7" t="s">
        <v>26</v>
      </c>
      <c r="BY7" s="7" t="s">
        <v>33</v>
      </c>
      <c r="BZ7" s="6"/>
      <c r="CA7" s="7" t="s">
        <v>66</v>
      </c>
      <c r="CC7" s="1">
        <v>42369</v>
      </c>
      <c r="CD7" s="6"/>
      <c r="CE7" s="6">
        <v>2193529705.2799997</v>
      </c>
      <c r="CF7" s="6">
        <v>-1375000000</v>
      </c>
      <c r="CG7" s="6">
        <v>-794000000</v>
      </c>
      <c r="CH7" s="6"/>
      <c r="CI7" s="6"/>
      <c r="CJ7" s="6"/>
      <c r="CK7" s="6">
        <v>31198000000</v>
      </c>
      <c r="CL7" s="6"/>
      <c r="CM7" s="6"/>
      <c r="CN7" s="6"/>
      <c r="CO7" s="6">
        <v>20.56</v>
      </c>
      <c r="CP7" s="6"/>
      <c r="CQ7" s="6">
        <v>2193529705.2799997</v>
      </c>
      <c r="CR7" s="8"/>
      <c r="CS7" s="7" t="s">
        <v>33</v>
      </c>
      <c r="CT7" s="6"/>
      <c r="CU7" s="7" t="s">
        <v>69</v>
      </c>
      <c r="CW7" s="1">
        <v>42369</v>
      </c>
      <c r="CX7" s="6"/>
      <c r="CY7" s="6">
        <v>951408570</v>
      </c>
      <c r="CZ7" s="6"/>
      <c r="DA7" s="6"/>
      <c r="DB7" s="6"/>
      <c r="DC7" s="6"/>
      <c r="DD7" s="6"/>
      <c r="DE7" s="6"/>
      <c r="DF7" s="6"/>
      <c r="DG7" s="6"/>
      <c r="DH7" s="6"/>
      <c r="DI7" s="6">
        <v>11.73</v>
      </c>
      <c r="DJ7" s="6"/>
      <c r="DK7" s="6">
        <v>951408570</v>
      </c>
      <c r="DL7" s="7" t="s">
        <v>26</v>
      </c>
      <c r="DM7" s="7" t="s">
        <v>33</v>
      </c>
      <c r="DN7" s="6"/>
      <c r="DO7" s="7" t="s">
        <v>73</v>
      </c>
      <c r="DQ7" s="1">
        <v>42369</v>
      </c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7" t="s">
        <v>23</v>
      </c>
      <c r="EG7" s="7" t="s">
        <v>33</v>
      </c>
      <c r="EH7" s="6"/>
      <c r="EI7" s="7" t="s">
        <v>72</v>
      </c>
      <c r="EK7" s="1">
        <v>42369</v>
      </c>
      <c r="EL7" s="6"/>
      <c r="EM7" s="6">
        <v>5651426245.0799999</v>
      </c>
      <c r="EN7" s="6"/>
      <c r="EO7" s="6"/>
      <c r="EP7" s="6"/>
      <c r="EQ7" s="6"/>
      <c r="ER7" s="6"/>
      <c r="ES7" s="6"/>
      <c r="ET7" s="6"/>
      <c r="EU7" s="6"/>
      <c r="EV7" s="6"/>
      <c r="EW7" s="6">
        <v>21.93</v>
      </c>
      <c r="EX7" s="6"/>
      <c r="EY7" s="6">
        <v>5652554562.1799994</v>
      </c>
      <c r="EZ7" s="7" t="s">
        <v>26</v>
      </c>
      <c r="FA7" s="7" t="s">
        <v>33</v>
      </c>
      <c r="FB7" s="6"/>
      <c r="FC7" s="7" t="s">
        <v>68</v>
      </c>
      <c r="FE7" s="1">
        <v>42369</v>
      </c>
      <c r="FF7" s="6"/>
      <c r="FG7" s="6">
        <v>3503683115.2200003</v>
      </c>
      <c r="FH7" s="6"/>
      <c r="FI7" s="6"/>
      <c r="FJ7" s="6"/>
      <c r="FK7" s="6"/>
      <c r="FL7" s="6"/>
      <c r="FM7" s="6"/>
      <c r="FN7" s="6"/>
      <c r="FO7" s="6"/>
      <c r="FP7" s="6"/>
      <c r="FQ7" s="6">
        <v>27.73</v>
      </c>
      <c r="FR7" s="6"/>
      <c r="FS7" s="6">
        <v>3503683115.2200003</v>
      </c>
      <c r="FT7" s="7" t="s">
        <v>26</v>
      </c>
      <c r="FU7" s="7" t="s">
        <v>33</v>
      </c>
      <c r="FV7" s="6"/>
      <c r="FW7" s="7" t="s">
        <v>74</v>
      </c>
    </row>
    <row r="8" spans="1:179" x14ac:dyDescent="0.35">
      <c r="A8" s="9">
        <v>42735</v>
      </c>
      <c r="B8" s="6"/>
      <c r="C8" s="6">
        <v>5668471192.026145</v>
      </c>
      <c r="D8" s="6">
        <v>2804000000</v>
      </c>
      <c r="E8" s="6"/>
      <c r="F8" s="6"/>
      <c r="G8" s="6"/>
      <c r="H8" s="6"/>
      <c r="I8" s="6">
        <v>5352000000</v>
      </c>
      <c r="J8" s="6"/>
      <c r="K8" s="6"/>
      <c r="L8" s="6"/>
      <c r="M8" s="6">
        <v>21.99</v>
      </c>
      <c r="N8" s="6"/>
      <c r="O8" s="6">
        <v>5735047150.9200001</v>
      </c>
      <c r="P8" s="7" t="s">
        <v>26</v>
      </c>
      <c r="Q8" s="7" t="s">
        <v>33</v>
      </c>
      <c r="R8" s="6"/>
      <c r="S8" s="7" t="s">
        <v>34</v>
      </c>
      <c r="U8" s="9">
        <v>42735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7" t="s">
        <v>26</v>
      </c>
      <c r="AK8" s="7" t="s">
        <v>33</v>
      </c>
      <c r="AL8" s="6"/>
      <c r="AM8" s="7" t="s">
        <v>71</v>
      </c>
      <c r="AO8" s="1">
        <v>42735</v>
      </c>
      <c r="AP8" s="6"/>
      <c r="AQ8" s="6">
        <v>10181484454.68</v>
      </c>
      <c r="AR8" s="6"/>
      <c r="AS8" s="6"/>
      <c r="AT8" s="6"/>
      <c r="AU8" s="6"/>
      <c r="AV8" s="6"/>
      <c r="AW8" s="6"/>
      <c r="AX8" s="6"/>
      <c r="AY8" s="6"/>
      <c r="AZ8" s="6"/>
      <c r="BA8" s="6">
        <v>70.84</v>
      </c>
      <c r="BB8" s="6"/>
      <c r="BC8" s="6">
        <v>10199899950.24</v>
      </c>
      <c r="BD8" s="7" t="s">
        <v>26</v>
      </c>
      <c r="BE8" s="7" t="s">
        <v>33</v>
      </c>
      <c r="BF8" s="6"/>
      <c r="BG8" s="7" t="s">
        <v>67</v>
      </c>
      <c r="BI8" s="1">
        <v>42735</v>
      </c>
      <c r="BJ8" s="6"/>
      <c r="BK8" s="6">
        <v>3437358194.3600001</v>
      </c>
      <c r="BL8" s="6"/>
      <c r="BM8" s="6"/>
      <c r="BN8" s="6"/>
      <c r="BO8" s="6"/>
      <c r="BP8" s="6"/>
      <c r="BQ8" s="6"/>
      <c r="BR8" s="6"/>
      <c r="BS8" s="6"/>
      <c r="BT8" s="6"/>
      <c r="BU8" s="6">
        <v>35.78</v>
      </c>
      <c r="BV8" s="6"/>
      <c r="BW8" s="6">
        <v>3438310979.9799995</v>
      </c>
      <c r="BX8" s="7" t="s">
        <v>26</v>
      </c>
      <c r="BY8" s="7" t="s">
        <v>33</v>
      </c>
      <c r="BZ8" s="6"/>
      <c r="CA8" s="7" t="s">
        <v>66</v>
      </c>
      <c r="CC8" s="1">
        <v>42735</v>
      </c>
      <c r="CD8" s="6"/>
      <c r="CE8" s="6">
        <v>994338911.07999992</v>
      </c>
      <c r="CF8" s="6">
        <v>-1063000000</v>
      </c>
      <c r="CG8" s="6">
        <v>-693000000</v>
      </c>
      <c r="CH8" s="6"/>
      <c r="CI8" s="6"/>
      <c r="CJ8" s="6"/>
      <c r="CK8" s="6">
        <v>25146000000</v>
      </c>
      <c r="CL8" s="6"/>
      <c r="CM8" s="6"/>
      <c r="CN8" s="6"/>
      <c r="CO8" s="6">
        <v>9.2899999999999991</v>
      </c>
      <c r="CP8" s="6"/>
      <c r="CQ8" s="6">
        <v>994338911.07999992</v>
      </c>
      <c r="CR8" s="8"/>
      <c r="CS8" s="7" t="s">
        <v>33</v>
      </c>
      <c r="CT8" s="6"/>
      <c r="CU8" s="7" t="s">
        <v>69</v>
      </c>
      <c r="CW8" s="1">
        <v>42735</v>
      </c>
      <c r="CX8" s="6"/>
      <c r="CY8" s="6">
        <v>880452315.39999998</v>
      </c>
      <c r="CZ8" s="6"/>
      <c r="DA8" s="6"/>
      <c r="DB8" s="6"/>
      <c r="DC8" s="6"/>
      <c r="DD8" s="6"/>
      <c r="DE8" s="6"/>
      <c r="DF8" s="6"/>
      <c r="DG8" s="6"/>
      <c r="DH8" s="6"/>
      <c r="DI8" s="6">
        <v>12.37</v>
      </c>
      <c r="DJ8" s="6"/>
      <c r="DK8" s="6">
        <v>891159540</v>
      </c>
      <c r="DL8" s="7" t="s">
        <v>26</v>
      </c>
      <c r="DM8" s="7" t="s">
        <v>33</v>
      </c>
      <c r="DN8" s="6"/>
      <c r="DO8" s="7" t="s">
        <v>73</v>
      </c>
      <c r="DQ8" s="1">
        <v>42735</v>
      </c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7" t="s">
        <v>23</v>
      </c>
      <c r="EG8" s="7" t="s">
        <v>33</v>
      </c>
      <c r="EH8" s="6"/>
      <c r="EI8" s="7" t="s">
        <v>72</v>
      </c>
      <c r="EK8" s="1">
        <v>42735</v>
      </c>
      <c r="EL8" s="6"/>
      <c r="EM8" s="6">
        <v>5539928077.25</v>
      </c>
      <c r="EN8" s="6"/>
      <c r="EO8" s="6"/>
      <c r="EP8" s="6"/>
      <c r="EQ8" s="6"/>
      <c r="ER8" s="6"/>
      <c r="ES8" s="6"/>
      <c r="ET8" s="6"/>
      <c r="EU8" s="6"/>
      <c r="EV8" s="6"/>
      <c r="EW8" s="6">
        <v>20.84</v>
      </c>
      <c r="EX8" s="6"/>
      <c r="EY8" s="6">
        <v>5391849110.6000004</v>
      </c>
      <c r="EZ8" s="7" t="s">
        <v>26</v>
      </c>
      <c r="FA8" s="7" t="s">
        <v>33</v>
      </c>
      <c r="FB8" s="6"/>
      <c r="FC8" s="7" t="s">
        <v>68</v>
      </c>
      <c r="FE8" s="1">
        <v>42735</v>
      </c>
      <c r="FF8" s="6"/>
      <c r="FG8" s="6">
        <v>3796103495.52</v>
      </c>
      <c r="FH8" s="6"/>
      <c r="FI8" s="6"/>
      <c r="FJ8" s="6"/>
      <c r="FK8" s="6"/>
      <c r="FL8" s="6"/>
      <c r="FM8" s="6"/>
      <c r="FN8" s="6"/>
      <c r="FO8" s="6"/>
      <c r="FP8" s="6"/>
      <c r="FQ8" s="6">
        <v>30.24</v>
      </c>
      <c r="FR8" s="6"/>
      <c r="FS8" s="6">
        <v>3749592621.5999999</v>
      </c>
      <c r="FT8" s="7" t="s">
        <v>26</v>
      </c>
      <c r="FU8" s="7" t="s">
        <v>33</v>
      </c>
      <c r="FV8" s="6"/>
      <c r="FW8" s="7" t="s">
        <v>74</v>
      </c>
    </row>
    <row r="9" spans="1:179" x14ac:dyDescent="0.35">
      <c r="A9" s="9">
        <v>43100</v>
      </c>
      <c r="B9" s="6"/>
      <c r="C9" s="6">
        <v>5651270196.9848375</v>
      </c>
      <c r="D9" s="6">
        <v>3666000000</v>
      </c>
      <c r="E9" s="6"/>
      <c r="F9" s="6"/>
      <c r="G9" s="6"/>
      <c r="H9" s="6"/>
      <c r="I9" s="6">
        <v>6135000000</v>
      </c>
      <c r="J9" s="6"/>
      <c r="K9" s="6"/>
      <c r="L9" s="6"/>
      <c r="M9" s="6">
        <v>22.16</v>
      </c>
      <c r="N9" s="6"/>
      <c r="O9" s="6">
        <v>5649428916.4800005</v>
      </c>
      <c r="P9" s="7" t="s">
        <v>26</v>
      </c>
      <c r="Q9" s="7" t="s">
        <v>33</v>
      </c>
      <c r="R9" s="6"/>
      <c r="S9" s="7" t="s">
        <v>34</v>
      </c>
      <c r="U9" s="9">
        <v>43100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7" t="s">
        <v>26</v>
      </c>
      <c r="AK9" s="7" t="s">
        <v>33</v>
      </c>
      <c r="AL9" s="6"/>
      <c r="AM9" s="7" t="s">
        <v>71</v>
      </c>
      <c r="AO9" s="1">
        <v>43100</v>
      </c>
      <c r="AP9" s="6"/>
      <c r="AQ9" s="6">
        <v>9245962232.960001</v>
      </c>
      <c r="AR9" s="6"/>
      <c r="AS9" s="6"/>
      <c r="AT9" s="6"/>
      <c r="AU9" s="6"/>
      <c r="AV9" s="6"/>
      <c r="AW9" s="6"/>
      <c r="AX9" s="6"/>
      <c r="AY9" s="6"/>
      <c r="AZ9" s="6"/>
      <c r="BA9" s="6">
        <v>65.680000000000007</v>
      </c>
      <c r="BB9" s="6"/>
      <c r="BC9" s="6">
        <v>9260484934.8000011</v>
      </c>
      <c r="BD9" s="7" t="s">
        <v>26</v>
      </c>
      <c r="BE9" s="7" t="s">
        <v>33</v>
      </c>
      <c r="BF9" s="6"/>
      <c r="BG9" s="7" t="s">
        <v>67</v>
      </c>
      <c r="BI9" s="1">
        <v>43100</v>
      </c>
      <c r="BJ9" s="6"/>
      <c r="BK9" s="6">
        <v>2505942263.8800001</v>
      </c>
      <c r="BL9" s="6"/>
      <c r="BM9" s="6"/>
      <c r="BN9" s="6"/>
      <c r="BO9" s="6"/>
      <c r="BP9" s="6"/>
      <c r="BQ9" s="6"/>
      <c r="BR9" s="6"/>
      <c r="BS9" s="6"/>
      <c r="BT9" s="6"/>
      <c r="BU9" s="6">
        <v>26.51</v>
      </c>
      <c r="BV9" s="6"/>
      <c r="BW9" s="6">
        <v>2506799809.3600001</v>
      </c>
      <c r="BX9" s="7" t="s">
        <v>26</v>
      </c>
      <c r="BY9" s="7" t="s">
        <v>33</v>
      </c>
      <c r="BZ9" s="6"/>
      <c r="CA9" s="7" t="s">
        <v>66</v>
      </c>
      <c r="CC9" s="1">
        <v>43100</v>
      </c>
      <c r="CD9" s="6"/>
      <c r="CE9" s="6">
        <v>385257110.44</v>
      </c>
      <c r="CF9" s="6">
        <v>-1992000000</v>
      </c>
      <c r="CG9" s="6">
        <v>-1624000000</v>
      </c>
      <c r="CH9" s="6"/>
      <c r="CI9" s="6"/>
      <c r="CJ9" s="6"/>
      <c r="CK9" s="6">
        <v>22138000000</v>
      </c>
      <c r="CL9" s="6"/>
      <c r="CM9" s="6"/>
      <c r="CN9" s="6"/>
      <c r="CO9" s="6">
        <v>3.58</v>
      </c>
      <c r="CP9" s="6"/>
      <c r="CQ9" s="6">
        <v>385257110.44000006</v>
      </c>
      <c r="CR9" s="8"/>
      <c r="CS9" s="7" t="s">
        <v>33</v>
      </c>
      <c r="CT9" s="6"/>
      <c r="CU9" s="7" t="s">
        <v>69</v>
      </c>
      <c r="CW9" s="1">
        <v>43100</v>
      </c>
      <c r="CX9" s="6"/>
      <c r="CY9" s="6">
        <v>770660169.5</v>
      </c>
      <c r="CZ9" s="6"/>
      <c r="DA9" s="6"/>
      <c r="DB9" s="6"/>
      <c r="DC9" s="6"/>
      <c r="DD9" s="6"/>
      <c r="DE9" s="6"/>
      <c r="DF9" s="6"/>
      <c r="DG9" s="6"/>
      <c r="DH9" s="6"/>
      <c r="DI9" s="6">
        <v>11.3</v>
      </c>
      <c r="DJ9" s="6"/>
      <c r="DK9" s="6">
        <v>771066800</v>
      </c>
      <c r="DL9" s="7" t="s">
        <v>70</v>
      </c>
      <c r="DM9" s="7" t="s">
        <v>33</v>
      </c>
      <c r="DN9" s="6"/>
      <c r="DO9" s="7" t="s">
        <v>73</v>
      </c>
      <c r="DQ9" s="1">
        <v>43100</v>
      </c>
      <c r="DR9" s="6"/>
      <c r="DS9" s="6">
        <v>320144000</v>
      </c>
      <c r="DT9" s="6"/>
      <c r="DU9" s="6"/>
      <c r="DV9" s="6"/>
      <c r="DW9" s="6"/>
      <c r="DX9" s="6"/>
      <c r="DY9" s="6"/>
      <c r="DZ9" s="6"/>
      <c r="EA9" s="6"/>
      <c r="EB9" s="6"/>
      <c r="EC9" s="6">
        <v>17.600000000000001</v>
      </c>
      <c r="ED9" s="6"/>
      <c r="EE9" s="6">
        <v>320144000</v>
      </c>
      <c r="EF9" s="7" t="s">
        <v>26</v>
      </c>
      <c r="EG9" s="7" t="s">
        <v>33</v>
      </c>
      <c r="EH9" s="6"/>
      <c r="EI9" s="7" t="s">
        <v>72</v>
      </c>
      <c r="EK9" s="1">
        <v>43100</v>
      </c>
      <c r="EL9" s="6"/>
      <c r="EM9" s="6">
        <v>6428736479.1000004</v>
      </c>
      <c r="EN9" s="6"/>
      <c r="EO9" s="6"/>
      <c r="EP9" s="6"/>
      <c r="EQ9" s="6"/>
      <c r="ER9" s="6"/>
      <c r="ES9" s="6"/>
      <c r="ET9" s="6"/>
      <c r="EU9" s="6"/>
      <c r="EV9" s="6"/>
      <c r="EW9" s="6">
        <v>24.1</v>
      </c>
      <c r="EX9" s="6"/>
      <c r="EY9" s="6">
        <v>6394773120.3000002</v>
      </c>
      <c r="EZ9" s="7" t="s">
        <v>26</v>
      </c>
      <c r="FA9" s="7" t="s">
        <v>33</v>
      </c>
      <c r="FB9" s="6"/>
      <c r="FC9" s="7" t="s">
        <v>68</v>
      </c>
      <c r="FE9" s="1">
        <v>43100</v>
      </c>
      <c r="FF9" s="6"/>
      <c r="FG9" s="6">
        <v>3785968905.9300003</v>
      </c>
      <c r="FH9" s="6"/>
      <c r="FI9" s="6"/>
      <c r="FJ9" s="6"/>
      <c r="FK9" s="6"/>
      <c r="FL9" s="6"/>
      <c r="FM9" s="6"/>
      <c r="FN9" s="6"/>
      <c r="FO9" s="6"/>
      <c r="FP9" s="6"/>
      <c r="FQ9" s="6">
        <v>30.51</v>
      </c>
      <c r="FR9" s="6"/>
      <c r="FS9" s="6">
        <v>3789879464.1600003</v>
      </c>
      <c r="FT9" s="7" t="s">
        <v>26</v>
      </c>
      <c r="FU9" s="7" t="s">
        <v>33</v>
      </c>
      <c r="FV9" s="6"/>
      <c r="FW9" s="7" t="s">
        <v>74</v>
      </c>
    </row>
    <row r="10" spans="1:179" x14ac:dyDescent="0.35">
      <c r="A10" s="9">
        <v>43465</v>
      </c>
      <c r="B10" s="6"/>
      <c r="C10" s="6">
        <v>4121726932.2908702</v>
      </c>
      <c r="D10" s="6">
        <v>5252000000</v>
      </c>
      <c r="E10" s="6"/>
      <c r="F10" s="6"/>
      <c r="G10" s="6"/>
      <c r="H10" s="6"/>
      <c r="I10" s="6">
        <v>7239000000</v>
      </c>
      <c r="J10" s="6"/>
      <c r="K10" s="6"/>
      <c r="L10" s="6"/>
      <c r="M10" s="6">
        <v>16.12</v>
      </c>
      <c r="N10" s="6"/>
      <c r="O10" s="6">
        <v>4110425775.0400004</v>
      </c>
      <c r="P10" s="7" t="s">
        <v>26</v>
      </c>
      <c r="Q10" s="7" t="s">
        <v>33</v>
      </c>
      <c r="R10" s="6"/>
      <c r="S10" s="7" t="s">
        <v>34</v>
      </c>
      <c r="U10" s="9">
        <v>43465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7" t="s">
        <v>26</v>
      </c>
      <c r="AK10" s="7" t="s">
        <v>33</v>
      </c>
      <c r="AL10" s="6"/>
      <c r="AM10" s="7" t="s">
        <v>71</v>
      </c>
      <c r="AO10" s="1">
        <v>43465</v>
      </c>
      <c r="AP10" s="6"/>
      <c r="AQ10" s="6">
        <v>6112075695.3600006</v>
      </c>
      <c r="AR10" s="6"/>
      <c r="AS10" s="6"/>
      <c r="AT10" s="6"/>
      <c r="AU10" s="6"/>
      <c r="AV10" s="6"/>
      <c r="AW10" s="6"/>
      <c r="AX10" s="6"/>
      <c r="AY10" s="6"/>
      <c r="AZ10" s="6"/>
      <c r="BA10" s="6">
        <v>43.28</v>
      </c>
      <c r="BB10" s="6"/>
      <c r="BC10" s="6">
        <v>6112075695.3600006</v>
      </c>
      <c r="BD10" s="7" t="s">
        <v>26</v>
      </c>
      <c r="BE10" s="7" t="s">
        <v>33</v>
      </c>
      <c r="BF10" s="6"/>
      <c r="BG10" s="7" t="s">
        <v>67</v>
      </c>
      <c r="BI10" s="1">
        <v>43465</v>
      </c>
      <c r="BJ10" s="6"/>
      <c r="BK10" s="6">
        <v>1899502852.26</v>
      </c>
      <c r="BL10" s="6"/>
      <c r="BM10" s="6"/>
      <c r="BN10" s="6"/>
      <c r="BO10" s="6"/>
      <c r="BP10" s="6"/>
      <c r="BQ10" s="6"/>
      <c r="BR10" s="6"/>
      <c r="BS10" s="6"/>
      <c r="BT10" s="6"/>
      <c r="BU10" s="6">
        <v>20.22</v>
      </c>
      <c r="BV10" s="6"/>
      <c r="BW10" s="6">
        <v>1899502852.26</v>
      </c>
      <c r="BX10" s="7" t="s">
        <v>26</v>
      </c>
      <c r="BY10" s="7" t="s">
        <v>33</v>
      </c>
      <c r="BZ10" s="6"/>
      <c r="CA10" s="7" t="s">
        <v>66</v>
      </c>
      <c r="CC10" s="1">
        <v>43465</v>
      </c>
      <c r="CD10" s="6"/>
      <c r="CE10" s="6">
        <v>29384445.400000002</v>
      </c>
      <c r="CF10" s="6">
        <v>-981000000</v>
      </c>
      <c r="CG10" s="6">
        <v>-603000000</v>
      </c>
      <c r="CH10" s="6"/>
      <c r="CI10" s="6"/>
      <c r="CJ10" s="6"/>
      <c r="CK10" s="6">
        <v>16702000000</v>
      </c>
      <c r="CL10" s="6"/>
      <c r="CM10" s="6"/>
      <c r="CN10" s="6"/>
      <c r="CO10" s="6">
        <v>0.26960000000000001</v>
      </c>
      <c r="CP10" s="6"/>
      <c r="CQ10" s="6">
        <v>29384445.400000002</v>
      </c>
      <c r="CR10" s="8"/>
      <c r="CS10" s="7" t="s">
        <v>33</v>
      </c>
      <c r="CT10" s="6"/>
      <c r="CU10" s="7" t="s">
        <v>69</v>
      </c>
      <c r="CW10" s="1">
        <v>43465</v>
      </c>
      <c r="CX10" s="6"/>
      <c r="CY10" s="6">
        <v>624339450</v>
      </c>
      <c r="CZ10" s="6"/>
      <c r="DA10" s="6"/>
      <c r="DB10" s="6"/>
      <c r="DC10" s="6"/>
      <c r="DD10" s="6"/>
      <c r="DE10" s="6"/>
      <c r="DF10" s="6"/>
      <c r="DG10" s="6"/>
      <c r="DH10" s="6"/>
      <c r="DI10" s="6">
        <v>9.17</v>
      </c>
      <c r="DJ10" s="6"/>
      <c r="DK10" s="6">
        <v>624339450</v>
      </c>
      <c r="DL10" s="7" t="s">
        <v>70</v>
      </c>
      <c r="DM10" s="7" t="s">
        <v>33</v>
      </c>
      <c r="DN10" s="6"/>
      <c r="DO10" s="7" t="s">
        <v>73</v>
      </c>
      <c r="DQ10" s="1">
        <v>43465</v>
      </c>
      <c r="DR10" s="6"/>
      <c r="DS10" s="6">
        <v>343771560</v>
      </c>
      <c r="DT10" s="6"/>
      <c r="DU10" s="6"/>
      <c r="DV10" s="6"/>
      <c r="DW10" s="6"/>
      <c r="DX10" s="6"/>
      <c r="DY10" s="6"/>
      <c r="DZ10" s="6"/>
      <c r="EA10" s="6"/>
      <c r="EB10" s="6"/>
      <c r="EC10" s="6">
        <v>18.809999999999999</v>
      </c>
      <c r="ED10" s="6"/>
      <c r="EE10" s="6">
        <v>343771560</v>
      </c>
      <c r="EF10" s="7" t="s">
        <v>26</v>
      </c>
      <c r="EG10" s="7" t="s">
        <v>33</v>
      </c>
      <c r="EH10" s="6"/>
      <c r="EI10" s="7" t="s">
        <v>72</v>
      </c>
      <c r="EK10" s="1">
        <v>43465</v>
      </c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>
        <v>25.34</v>
      </c>
      <c r="EX10" s="6"/>
      <c r="EY10" s="6"/>
      <c r="EZ10" s="7" t="s">
        <v>26</v>
      </c>
      <c r="FA10" s="7" t="s">
        <v>33</v>
      </c>
      <c r="FB10" s="6"/>
      <c r="FC10" s="7" t="s">
        <v>68</v>
      </c>
      <c r="FE10" s="1">
        <v>43465</v>
      </c>
      <c r="FF10" s="6"/>
      <c r="FG10" s="6">
        <v>3648380371.5500002</v>
      </c>
      <c r="FH10" s="6"/>
      <c r="FI10" s="6"/>
      <c r="FJ10" s="6"/>
      <c r="FK10" s="6"/>
      <c r="FL10" s="6"/>
      <c r="FM10" s="6"/>
      <c r="FN10" s="6"/>
      <c r="FO10" s="6"/>
      <c r="FP10" s="6"/>
      <c r="FQ10" s="6">
        <v>30.01</v>
      </c>
      <c r="FR10" s="6"/>
      <c r="FS10" s="6">
        <v>3648380371.5500002</v>
      </c>
      <c r="FT10" s="7" t="s">
        <v>26</v>
      </c>
      <c r="FU10" s="7" t="s">
        <v>33</v>
      </c>
      <c r="FV10" s="6"/>
      <c r="FW10" s="7" t="s">
        <v>74</v>
      </c>
    </row>
    <row r="11" spans="1:179" x14ac:dyDescent="0.35">
      <c r="A11" s="9">
        <v>43830</v>
      </c>
      <c r="B11" s="6"/>
      <c r="C11" s="6">
        <v>4633536639.7321377</v>
      </c>
      <c r="D11" s="6">
        <v>4308000000</v>
      </c>
      <c r="E11" s="6"/>
      <c r="F11" s="6"/>
      <c r="G11" s="6"/>
      <c r="H11" s="6"/>
      <c r="I11" s="6">
        <v>8203000000</v>
      </c>
      <c r="J11" s="6"/>
      <c r="K11" s="6"/>
      <c r="L11" s="6"/>
      <c r="M11" s="6">
        <v>18.28</v>
      </c>
      <c r="N11" s="6"/>
      <c r="O11" s="6">
        <v>4661202429.7600002</v>
      </c>
      <c r="P11" s="7" t="s">
        <v>26</v>
      </c>
      <c r="Q11" s="7" t="s">
        <v>33</v>
      </c>
      <c r="R11" s="6"/>
      <c r="S11" s="7" t="s">
        <v>34</v>
      </c>
      <c r="U11" s="9">
        <v>43830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7" t="s">
        <v>26</v>
      </c>
      <c r="AK11" s="7" t="s">
        <v>33</v>
      </c>
      <c r="AL11" s="6"/>
      <c r="AM11" s="7" t="s">
        <v>71</v>
      </c>
      <c r="AO11" s="1">
        <v>43830</v>
      </c>
      <c r="AP11" s="6"/>
      <c r="AQ11" s="6">
        <v>3806693938.0000005</v>
      </c>
      <c r="AR11" s="6"/>
      <c r="AS11" s="6"/>
      <c r="AT11" s="6"/>
      <c r="AU11" s="6"/>
      <c r="AV11" s="6"/>
      <c r="AW11" s="6"/>
      <c r="AX11" s="6"/>
      <c r="AY11" s="6"/>
      <c r="AZ11" s="6"/>
      <c r="BA11" s="6">
        <v>26.92</v>
      </c>
      <c r="BB11" s="6"/>
      <c r="BC11" s="6">
        <v>3806693938.0000005</v>
      </c>
      <c r="BD11" s="7" t="s">
        <v>26</v>
      </c>
      <c r="BE11" s="7" t="s">
        <v>33</v>
      </c>
      <c r="BF11" s="6"/>
      <c r="BG11" s="7" t="s">
        <v>67</v>
      </c>
      <c r="BI11" s="1">
        <v>43830</v>
      </c>
      <c r="BJ11" s="6"/>
      <c r="BK11" s="6">
        <v>1368302989.8</v>
      </c>
      <c r="BL11" s="6"/>
      <c r="BM11" s="6"/>
      <c r="BN11" s="6"/>
      <c r="BO11" s="6"/>
      <c r="BP11" s="6"/>
      <c r="BQ11" s="6"/>
      <c r="BR11" s="6"/>
      <c r="BS11" s="6"/>
      <c r="BT11" s="6"/>
      <c r="BU11" s="6">
        <v>14.73</v>
      </c>
      <c r="BV11" s="6"/>
      <c r="BW11" s="6">
        <v>1368302989.8</v>
      </c>
      <c r="BX11" s="7" t="s">
        <v>26</v>
      </c>
      <c r="BY11" s="7" t="s">
        <v>33</v>
      </c>
      <c r="BZ11" s="6"/>
      <c r="CA11" s="7" t="s">
        <v>66</v>
      </c>
      <c r="CC11" s="1">
        <v>43830</v>
      </c>
      <c r="CD11" s="6"/>
      <c r="CE11" s="6">
        <v>18964738.5</v>
      </c>
      <c r="CF11" s="6"/>
      <c r="CG11" s="6"/>
      <c r="CH11" s="6"/>
      <c r="CI11" s="6"/>
      <c r="CJ11" s="6"/>
      <c r="CK11" s="6"/>
      <c r="CL11" s="6"/>
      <c r="CM11" s="6"/>
      <c r="CN11" s="6"/>
      <c r="CO11" s="6">
        <v>0.17399999999999999</v>
      </c>
      <c r="CP11" s="6"/>
      <c r="CQ11" s="6">
        <v>18964738.5</v>
      </c>
      <c r="CR11" s="8"/>
      <c r="CS11" s="7" t="s">
        <v>33</v>
      </c>
      <c r="CT11" s="6"/>
      <c r="CU11" s="7" t="s">
        <v>69</v>
      </c>
      <c r="CW11" s="1">
        <v>43830</v>
      </c>
      <c r="CX11" s="6"/>
      <c r="CY11" s="6">
        <v>1129023100</v>
      </c>
      <c r="CZ11" s="6"/>
      <c r="DA11" s="6"/>
      <c r="DB11" s="6"/>
      <c r="DC11" s="6"/>
      <c r="DD11" s="6"/>
      <c r="DE11" s="6"/>
      <c r="DF11" s="6"/>
      <c r="DG11" s="6"/>
      <c r="DH11" s="6"/>
      <c r="DI11" s="6">
        <v>14.51</v>
      </c>
      <c r="DJ11" s="6"/>
      <c r="DK11" s="6">
        <v>1129023100</v>
      </c>
      <c r="DL11" s="7" t="s">
        <v>70</v>
      </c>
      <c r="DM11" s="7" t="s">
        <v>33</v>
      </c>
      <c r="DN11" s="6"/>
      <c r="DO11" s="7" t="s">
        <v>73</v>
      </c>
      <c r="DQ11" s="1">
        <v>43830</v>
      </c>
      <c r="DR11" s="6"/>
      <c r="DS11" s="6">
        <v>1925614599.9999998</v>
      </c>
      <c r="DT11" s="6"/>
      <c r="DU11" s="6"/>
      <c r="DV11" s="6"/>
      <c r="DW11" s="6"/>
      <c r="DX11" s="6"/>
      <c r="DY11" s="6"/>
      <c r="DZ11" s="6"/>
      <c r="EA11" s="6"/>
      <c r="EB11" s="6"/>
      <c r="EC11" s="6">
        <v>40.299999999999997</v>
      </c>
      <c r="ED11" s="6"/>
      <c r="EE11" s="6">
        <v>1925614599.9999998</v>
      </c>
      <c r="EF11" s="7" t="s">
        <v>26</v>
      </c>
      <c r="EG11" s="7" t="s">
        <v>33</v>
      </c>
      <c r="EH11" s="6"/>
      <c r="EI11" s="7" t="s">
        <v>72</v>
      </c>
      <c r="EK11" s="1">
        <v>43830</v>
      </c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>
        <v>25.34</v>
      </c>
      <c r="EX11" s="6"/>
      <c r="EY11" s="6"/>
      <c r="EZ11" s="7" t="s">
        <v>26</v>
      </c>
      <c r="FA11" s="7" t="s">
        <v>33</v>
      </c>
      <c r="FB11" s="6"/>
      <c r="FC11" s="7" t="s">
        <v>68</v>
      </c>
      <c r="FE11" s="1">
        <v>43830</v>
      </c>
      <c r="FF11" s="6"/>
      <c r="FG11" s="6">
        <v>4002771453.1699996</v>
      </c>
      <c r="FH11" s="6"/>
      <c r="FI11" s="6"/>
      <c r="FJ11" s="6"/>
      <c r="FK11" s="6"/>
      <c r="FL11" s="6"/>
      <c r="FM11" s="6"/>
      <c r="FN11" s="6"/>
      <c r="FO11" s="6"/>
      <c r="FP11" s="6"/>
      <c r="FQ11" s="6">
        <v>32.83</v>
      </c>
      <c r="FR11" s="6"/>
      <c r="FS11" s="6">
        <v>4002771453.1700001</v>
      </c>
      <c r="FT11" s="7" t="s">
        <v>26</v>
      </c>
      <c r="FU11" s="7" t="s">
        <v>33</v>
      </c>
      <c r="FV11" s="6"/>
      <c r="FW11" s="7" t="s">
        <v>74</v>
      </c>
    </row>
    <row r="12" spans="1:179" x14ac:dyDescent="0.35">
      <c r="A12" s="9">
        <v>44196</v>
      </c>
      <c r="B12" s="6"/>
      <c r="C12" s="6">
        <v>3680787334.2993755</v>
      </c>
      <c r="D12" s="6">
        <v>1503000000</v>
      </c>
      <c r="E12" s="6"/>
      <c r="F12" s="6"/>
      <c r="G12" s="6"/>
      <c r="H12" s="6"/>
      <c r="I12" s="6">
        <v>6593000000</v>
      </c>
      <c r="J12" s="6"/>
      <c r="K12" s="6"/>
      <c r="L12" s="6"/>
      <c r="M12" s="6">
        <v>14.47</v>
      </c>
      <c r="N12" s="6"/>
      <c r="O12" s="6">
        <v>3689693608.2400002</v>
      </c>
      <c r="P12" s="7" t="s">
        <v>26</v>
      </c>
      <c r="Q12" s="7" t="s">
        <v>33</v>
      </c>
      <c r="R12" s="6"/>
      <c r="S12" s="7" t="s">
        <v>34</v>
      </c>
      <c r="U12" s="9">
        <v>44196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7" t="s">
        <v>26</v>
      </c>
      <c r="AK12" s="7" t="s">
        <v>33</v>
      </c>
      <c r="AL12" s="6"/>
      <c r="AM12" s="7" t="s">
        <v>71</v>
      </c>
      <c r="AO12" s="1">
        <v>44196</v>
      </c>
      <c r="AP12" s="6"/>
      <c r="AQ12" s="6">
        <v>1598052035.25</v>
      </c>
      <c r="AR12" s="6"/>
      <c r="AS12" s="6"/>
      <c r="AT12" s="6"/>
      <c r="AU12" s="6"/>
      <c r="AV12" s="6"/>
      <c r="AW12" s="6"/>
      <c r="AX12" s="6"/>
      <c r="AY12" s="6"/>
      <c r="AZ12" s="6"/>
      <c r="BA12" s="6">
        <v>10.67</v>
      </c>
      <c r="BB12" s="6"/>
      <c r="BC12" s="6">
        <v>1598052035.25</v>
      </c>
      <c r="BD12" s="7" t="s">
        <v>26</v>
      </c>
      <c r="BE12" s="7" t="s">
        <v>33</v>
      </c>
      <c r="BF12" s="6"/>
      <c r="BG12" s="7" t="s">
        <v>67</v>
      </c>
      <c r="BI12" s="1">
        <v>44196</v>
      </c>
      <c r="BJ12" s="6"/>
      <c r="BK12" s="6">
        <v>931955217.96000004</v>
      </c>
      <c r="BL12" s="6"/>
      <c r="BM12" s="6"/>
      <c r="BN12" s="6"/>
      <c r="BO12" s="6"/>
      <c r="BP12" s="6"/>
      <c r="BQ12" s="6"/>
      <c r="BR12" s="6"/>
      <c r="BS12" s="6"/>
      <c r="BT12" s="6"/>
      <c r="BU12" s="6">
        <v>9.9600000000000009</v>
      </c>
      <c r="BV12" s="6"/>
      <c r="BW12" s="6">
        <v>931955217.96000004</v>
      </c>
      <c r="BX12" s="7" t="s">
        <v>26</v>
      </c>
      <c r="BY12" s="7" t="s">
        <v>33</v>
      </c>
      <c r="BZ12" s="6"/>
      <c r="CA12" s="7" t="s">
        <v>66</v>
      </c>
      <c r="CC12" s="1">
        <v>44196</v>
      </c>
      <c r="CD12" s="6"/>
      <c r="CE12" s="6">
        <v>24795850.625</v>
      </c>
      <c r="CF12" s="6"/>
      <c r="CG12" s="6"/>
      <c r="CH12" s="6"/>
      <c r="CI12" s="6"/>
      <c r="CJ12" s="6"/>
      <c r="CK12" s="6"/>
      <c r="CL12" s="6"/>
      <c r="CM12" s="6"/>
      <c r="CN12" s="6"/>
      <c r="CO12" s="6">
        <v>0.22750000000000001</v>
      </c>
      <c r="CP12" s="6"/>
      <c r="CQ12" s="6">
        <v>24795850.625</v>
      </c>
      <c r="CR12" s="8"/>
      <c r="CS12" s="7" t="s">
        <v>33</v>
      </c>
      <c r="CT12" s="6"/>
      <c r="CU12" s="7" t="s">
        <v>69</v>
      </c>
      <c r="CW12" s="1">
        <v>44196</v>
      </c>
      <c r="CX12" s="6"/>
      <c r="CY12" s="6">
        <v>1098409950</v>
      </c>
      <c r="CZ12" s="6"/>
      <c r="DA12" s="6"/>
      <c r="DB12" s="6"/>
      <c r="DC12" s="6"/>
      <c r="DD12" s="6"/>
      <c r="DE12" s="6"/>
      <c r="DF12" s="6"/>
      <c r="DG12" s="6"/>
      <c r="DH12" s="6"/>
      <c r="DI12" s="6">
        <v>14.85</v>
      </c>
      <c r="DJ12" s="6"/>
      <c r="DK12" s="6">
        <v>1098409950</v>
      </c>
      <c r="DL12" s="7" t="s">
        <v>70</v>
      </c>
      <c r="DM12" s="7" t="s">
        <v>33</v>
      </c>
      <c r="DN12" s="6"/>
      <c r="DO12" s="7" t="s">
        <v>73</v>
      </c>
      <c r="DQ12" s="1">
        <v>44196</v>
      </c>
      <c r="DR12" s="6"/>
      <c r="DS12" s="6">
        <v>3856902939.9999995</v>
      </c>
      <c r="DT12" s="6"/>
      <c r="DU12" s="6"/>
      <c r="DV12" s="6"/>
      <c r="DW12" s="6"/>
      <c r="DX12" s="6"/>
      <c r="DY12" s="6"/>
      <c r="DZ12" s="6"/>
      <c r="EA12" s="6"/>
      <c r="EB12" s="6"/>
      <c r="EC12" s="6">
        <v>72.489999999999995</v>
      </c>
      <c r="ED12" s="6"/>
      <c r="EE12" s="6">
        <v>3856902939.9999995</v>
      </c>
      <c r="EF12" s="7" t="s">
        <v>26</v>
      </c>
      <c r="EG12" s="7" t="s">
        <v>33</v>
      </c>
      <c r="EH12" s="6"/>
      <c r="EI12" s="7" t="s">
        <v>72</v>
      </c>
      <c r="EK12" s="1">
        <v>44196</v>
      </c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>
        <v>25.34</v>
      </c>
      <c r="EX12" s="6"/>
      <c r="EY12" s="6"/>
      <c r="EZ12" s="7" t="s">
        <v>26</v>
      </c>
      <c r="FA12" s="7" t="s">
        <v>33</v>
      </c>
      <c r="FB12" s="6"/>
      <c r="FC12" s="7" t="s">
        <v>68</v>
      </c>
      <c r="FE12" s="1">
        <v>44196</v>
      </c>
      <c r="FF12" s="6"/>
      <c r="FG12" s="6">
        <v>3315135300.4000001</v>
      </c>
      <c r="FH12" s="6"/>
      <c r="FI12" s="6"/>
      <c r="FJ12" s="6"/>
      <c r="FK12" s="6"/>
      <c r="FL12" s="6"/>
      <c r="FM12" s="6"/>
      <c r="FN12" s="6"/>
      <c r="FO12" s="6"/>
      <c r="FP12" s="6"/>
      <c r="FQ12" s="6">
        <v>27.28</v>
      </c>
      <c r="FR12" s="6"/>
      <c r="FS12" s="6">
        <v>3315135300.4000001</v>
      </c>
      <c r="FT12" s="7" t="s">
        <v>26</v>
      </c>
      <c r="FU12" s="7" t="s">
        <v>33</v>
      </c>
      <c r="FV12" s="6"/>
      <c r="FW12" s="7" t="s">
        <v>74</v>
      </c>
    </row>
    <row r="13" spans="1:179" x14ac:dyDescent="0.35">
      <c r="A13" s="9">
        <v>44561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>
        <v>18.59</v>
      </c>
      <c r="N13" s="6"/>
      <c r="O13" s="6"/>
      <c r="P13" s="7" t="s">
        <v>26</v>
      </c>
      <c r="Q13" s="7" t="s">
        <v>33</v>
      </c>
      <c r="R13" s="6"/>
      <c r="S13" s="7" t="s">
        <v>34</v>
      </c>
      <c r="U13" s="9">
        <v>44561</v>
      </c>
      <c r="V13" s="6"/>
      <c r="W13" s="6">
        <v>623644320</v>
      </c>
      <c r="X13" s="6"/>
      <c r="Y13" s="6"/>
      <c r="Z13" s="6"/>
      <c r="AA13" s="6"/>
      <c r="AB13" s="6"/>
      <c r="AC13" s="6"/>
      <c r="AD13" s="6"/>
      <c r="AE13" s="6"/>
      <c r="AF13" s="6"/>
      <c r="AG13" s="6">
        <v>31.2</v>
      </c>
      <c r="AH13" s="6"/>
      <c r="AI13" s="6">
        <v>623644320</v>
      </c>
      <c r="AJ13" s="7" t="s">
        <v>26</v>
      </c>
      <c r="AK13" s="7" t="s">
        <v>33</v>
      </c>
      <c r="AL13" s="6"/>
      <c r="AM13" s="7" t="s">
        <v>71</v>
      </c>
      <c r="AO13" s="1">
        <v>44561</v>
      </c>
      <c r="AP13" s="6"/>
      <c r="AQ13" s="6">
        <v>3711693144.96</v>
      </c>
      <c r="AR13" s="6"/>
      <c r="AS13" s="6"/>
      <c r="AT13" s="6"/>
      <c r="AU13" s="6"/>
      <c r="AV13" s="6"/>
      <c r="AW13" s="6"/>
      <c r="AX13" s="6"/>
      <c r="AY13" s="6"/>
      <c r="AZ13" s="6"/>
      <c r="BA13" s="6">
        <v>17.28</v>
      </c>
      <c r="BB13" s="6"/>
      <c r="BC13" s="6">
        <v>3711693144.96</v>
      </c>
      <c r="BD13" s="7" t="s">
        <v>26</v>
      </c>
      <c r="BE13" s="7" t="s">
        <v>33</v>
      </c>
      <c r="BF13" s="6"/>
      <c r="BG13" s="7" t="s">
        <v>67</v>
      </c>
      <c r="BI13" s="1">
        <v>44561</v>
      </c>
      <c r="BJ13" s="6"/>
      <c r="BK13" s="6">
        <v>2006753671.5200002</v>
      </c>
      <c r="BL13" s="6"/>
      <c r="BM13" s="6"/>
      <c r="BN13" s="6"/>
      <c r="BO13" s="6"/>
      <c r="BP13" s="6"/>
      <c r="BQ13" s="6"/>
      <c r="BR13" s="6"/>
      <c r="BS13" s="6"/>
      <c r="BT13" s="6"/>
      <c r="BU13" s="6">
        <v>19.28</v>
      </c>
      <c r="BV13" s="6"/>
      <c r="BW13" s="6">
        <v>2006753671.5200005</v>
      </c>
      <c r="BX13" s="7" t="s">
        <v>26</v>
      </c>
      <c r="BY13" s="7" t="s">
        <v>33</v>
      </c>
      <c r="BZ13" s="6"/>
      <c r="CA13" s="7" t="s">
        <v>66</v>
      </c>
      <c r="CC13" s="1">
        <v>44561</v>
      </c>
      <c r="CD13" s="6"/>
      <c r="CE13" s="6">
        <v>2179855</v>
      </c>
      <c r="CF13" s="6"/>
      <c r="CG13" s="6"/>
      <c r="CH13" s="6"/>
      <c r="CI13" s="6"/>
      <c r="CJ13" s="6"/>
      <c r="CK13" s="6"/>
      <c r="CL13" s="6"/>
      <c r="CM13" s="6"/>
      <c r="CN13" s="6"/>
      <c r="CO13" s="6">
        <v>0.02</v>
      </c>
      <c r="CP13" s="6"/>
      <c r="CQ13" s="6">
        <v>2179855</v>
      </c>
      <c r="CR13" s="8"/>
      <c r="CS13" s="7" t="s">
        <v>33</v>
      </c>
      <c r="CT13" s="6"/>
      <c r="CU13" s="7" t="s">
        <v>69</v>
      </c>
      <c r="CW13" s="1">
        <v>44561</v>
      </c>
      <c r="CX13" s="6"/>
      <c r="CY13" s="6">
        <v>1778912100</v>
      </c>
      <c r="CZ13" s="6"/>
      <c r="DA13" s="6"/>
      <c r="DB13" s="6"/>
      <c r="DC13" s="6"/>
      <c r="DD13" s="6"/>
      <c r="DE13" s="6"/>
      <c r="DF13" s="6"/>
      <c r="DG13" s="6"/>
      <c r="DH13" s="6"/>
      <c r="DI13" s="6">
        <v>25.83</v>
      </c>
      <c r="DJ13" s="6"/>
      <c r="DK13" s="6">
        <v>1778912100</v>
      </c>
      <c r="DL13" s="7" t="s">
        <v>70</v>
      </c>
      <c r="DM13" s="7" t="s">
        <v>33</v>
      </c>
      <c r="DN13" s="6"/>
      <c r="DO13" s="7" t="s">
        <v>73</v>
      </c>
      <c r="DQ13" s="1">
        <v>44561</v>
      </c>
      <c r="DR13" s="6"/>
      <c r="DS13" s="6">
        <v>4521027150</v>
      </c>
      <c r="DT13" s="6"/>
      <c r="DU13" s="6"/>
      <c r="DV13" s="6"/>
      <c r="DW13" s="6"/>
      <c r="DX13" s="6"/>
      <c r="DY13" s="6"/>
      <c r="DZ13" s="6"/>
      <c r="EA13" s="6"/>
      <c r="EB13" s="6"/>
      <c r="EC13" s="6">
        <v>79.849999999999994</v>
      </c>
      <c r="ED13" s="6"/>
      <c r="EE13" s="6">
        <v>4521027150</v>
      </c>
      <c r="EF13" s="7" t="s">
        <v>26</v>
      </c>
      <c r="EG13" s="7" t="s">
        <v>33</v>
      </c>
      <c r="EH13" s="6"/>
      <c r="EI13" s="7" t="s">
        <v>72</v>
      </c>
      <c r="EK13" s="1">
        <v>44561</v>
      </c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>
        <v>25.34</v>
      </c>
      <c r="EX13" s="6"/>
      <c r="EY13" s="6"/>
      <c r="EZ13" s="7" t="s">
        <v>26</v>
      </c>
      <c r="FA13" s="7" t="s">
        <v>33</v>
      </c>
      <c r="FB13" s="6"/>
      <c r="FC13" s="7" t="s">
        <v>68</v>
      </c>
      <c r="FE13" s="1">
        <v>44561</v>
      </c>
      <c r="FF13" s="6"/>
      <c r="FG13" s="6">
        <v>2983830686.1999998</v>
      </c>
      <c r="FH13" s="6"/>
      <c r="FI13" s="6"/>
      <c r="FJ13" s="6"/>
      <c r="FK13" s="6"/>
      <c r="FL13" s="6"/>
      <c r="FM13" s="6"/>
      <c r="FN13" s="6"/>
      <c r="FO13" s="6"/>
      <c r="FP13" s="6"/>
      <c r="FQ13" s="6">
        <v>25.9</v>
      </c>
      <c r="FR13" s="6"/>
      <c r="FS13" s="6">
        <v>2983830686.1999998</v>
      </c>
      <c r="FT13" s="7" t="s">
        <v>26</v>
      </c>
      <c r="FU13" s="7" t="s">
        <v>33</v>
      </c>
      <c r="FV13" s="6"/>
      <c r="FW13" s="7" t="s">
        <v>74</v>
      </c>
    </row>
    <row r="14" spans="1:179" x14ac:dyDescent="0.35">
      <c r="A14" s="9">
        <v>44926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>
        <v>18.59</v>
      </c>
      <c r="N14" s="6"/>
      <c r="O14" s="6"/>
      <c r="P14" s="7" t="s">
        <v>26</v>
      </c>
      <c r="Q14" s="7" t="s">
        <v>33</v>
      </c>
      <c r="R14" s="6"/>
      <c r="S14" s="7" t="s">
        <v>34</v>
      </c>
      <c r="U14" s="9">
        <v>44926</v>
      </c>
      <c r="V14" s="6"/>
      <c r="W14" s="6">
        <v>734732828.23999989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23.08</v>
      </c>
      <c r="AH14" s="6"/>
      <c r="AI14" s="6">
        <v>733484915.72000003</v>
      </c>
      <c r="AJ14" s="7" t="s">
        <v>26</v>
      </c>
      <c r="AK14" s="7" t="s">
        <v>33</v>
      </c>
      <c r="AL14" s="6"/>
      <c r="AM14" s="7" t="s">
        <v>71</v>
      </c>
      <c r="AO14" s="1">
        <v>44926</v>
      </c>
      <c r="AP14" s="6"/>
      <c r="AQ14" s="6">
        <v>2418476375.0799999</v>
      </c>
      <c r="AR14" s="6"/>
      <c r="AS14" s="6"/>
      <c r="AT14" s="6"/>
      <c r="AU14" s="6"/>
      <c r="AV14" s="6"/>
      <c r="AW14" s="6"/>
      <c r="AX14" s="6"/>
      <c r="AY14" s="6"/>
      <c r="AZ14" s="6"/>
      <c r="BA14" s="6">
        <v>11.26</v>
      </c>
      <c r="BB14" s="6"/>
      <c r="BC14" s="6">
        <v>2423615112.54</v>
      </c>
      <c r="BD14" s="7" t="s">
        <v>26</v>
      </c>
      <c r="BE14" s="7" t="s">
        <v>33</v>
      </c>
      <c r="BF14" s="6"/>
      <c r="BG14" s="7" t="s">
        <v>67</v>
      </c>
      <c r="BI14" s="1">
        <v>44926</v>
      </c>
      <c r="BJ14" s="6"/>
      <c r="BK14" s="6">
        <v>1871983888.3200002</v>
      </c>
      <c r="BL14" s="6"/>
      <c r="BM14" s="6"/>
      <c r="BN14" s="6"/>
      <c r="BO14" s="6"/>
      <c r="BP14" s="6"/>
      <c r="BQ14" s="6"/>
      <c r="BR14" s="6"/>
      <c r="BS14" s="6"/>
      <c r="BT14" s="6"/>
      <c r="BU14" s="6">
        <v>17.940000000000001</v>
      </c>
      <c r="BV14" s="6"/>
      <c r="BW14" s="6">
        <v>1874692684.8000002</v>
      </c>
      <c r="BX14" s="7" t="s">
        <v>26</v>
      </c>
      <c r="BY14" s="7" t="s">
        <v>33</v>
      </c>
      <c r="BZ14" s="6"/>
      <c r="CA14" s="7" t="s">
        <v>66</v>
      </c>
      <c r="CC14" s="1">
        <v>44926</v>
      </c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>
        <v>0.1</v>
      </c>
      <c r="CP14" s="6"/>
      <c r="CQ14" s="6"/>
      <c r="CR14" s="8"/>
      <c r="CS14" s="7" t="s">
        <v>33</v>
      </c>
      <c r="CT14" s="6"/>
      <c r="CU14" s="7" t="s">
        <v>69</v>
      </c>
      <c r="CW14" s="1">
        <v>44926</v>
      </c>
      <c r="CX14" s="6"/>
      <c r="CY14" s="6">
        <v>661500757.61000001</v>
      </c>
      <c r="CZ14" s="6"/>
      <c r="DA14" s="6"/>
      <c r="DB14" s="6"/>
      <c r="DC14" s="6"/>
      <c r="DD14" s="6"/>
      <c r="DE14" s="6"/>
      <c r="DF14" s="6"/>
      <c r="DG14" s="6"/>
      <c r="DH14" s="6"/>
      <c r="DI14" s="6">
        <v>7.63</v>
      </c>
      <c r="DJ14" s="6"/>
      <c r="DK14" s="6">
        <v>661704120</v>
      </c>
      <c r="DL14" s="7" t="s">
        <v>70</v>
      </c>
      <c r="DM14" s="7" t="s">
        <v>33</v>
      </c>
      <c r="DN14" s="6"/>
      <c r="DO14" s="7" t="s">
        <v>73</v>
      </c>
      <c r="DQ14" s="1">
        <v>44926</v>
      </c>
      <c r="DR14" s="6"/>
      <c r="DS14" s="6">
        <v>1779804332.46</v>
      </c>
      <c r="DT14" s="6"/>
      <c r="DU14" s="6"/>
      <c r="DV14" s="6"/>
      <c r="DW14" s="6"/>
      <c r="DX14" s="6"/>
      <c r="DY14" s="6"/>
      <c r="DZ14" s="6"/>
      <c r="EA14" s="6"/>
      <c r="EB14" s="6"/>
      <c r="EC14" s="6">
        <v>28.62</v>
      </c>
      <c r="ED14" s="6"/>
      <c r="EE14" s="6">
        <v>1785802140</v>
      </c>
      <c r="EF14" s="7" t="s">
        <v>26</v>
      </c>
      <c r="EG14" s="7" t="s">
        <v>33</v>
      </c>
      <c r="EH14" s="6"/>
      <c r="EI14" s="7" t="s">
        <v>72</v>
      </c>
      <c r="EK14" s="1">
        <v>44926</v>
      </c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>
        <v>25.34</v>
      </c>
      <c r="EX14" s="6"/>
      <c r="EY14" s="6"/>
      <c r="EZ14" s="7" t="s">
        <v>26</v>
      </c>
      <c r="FA14" s="7" t="s">
        <v>33</v>
      </c>
      <c r="FB14" s="6"/>
      <c r="FC14" s="7" t="s">
        <v>68</v>
      </c>
      <c r="FE14" s="1">
        <v>44926</v>
      </c>
      <c r="FF14" s="6"/>
      <c r="FG14" s="6">
        <v>2732423452.4400001</v>
      </c>
      <c r="FH14" s="6"/>
      <c r="FI14" s="6"/>
      <c r="FJ14" s="6"/>
      <c r="FK14" s="6"/>
      <c r="FL14" s="6"/>
      <c r="FM14" s="6"/>
      <c r="FN14" s="6"/>
      <c r="FO14" s="6"/>
      <c r="FP14" s="6"/>
      <c r="FQ14" s="6">
        <v>24.97</v>
      </c>
      <c r="FR14" s="6"/>
      <c r="FS14" s="6">
        <v>2732423452.4400001</v>
      </c>
      <c r="FT14" s="7" t="s">
        <v>26</v>
      </c>
      <c r="FU14" s="7" t="s">
        <v>33</v>
      </c>
      <c r="FV14" s="6"/>
      <c r="FW14" s="7" t="s">
        <v>74</v>
      </c>
    </row>
    <row r="15" spans="1:179" x14ac:dyDescent="0.35">
      <c r="A15" s="9">
        <v>45291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>
        <v>18.59</v>
      </c>
      <c r="N15" s="6"/>
      <c r="O15" s="6"/>
      <c r="P15" s="7" t="s">
        <v>26</v>
      </c>
      <c r="Q15" s="7" t="s">
        <v>33</v>
      </c>
      <c r="R15" s="6"/>
      <c r="S15" s="7" t="s">
        <v>34</v>
      </c>
      <c r="U15" s="9">
        <v>45291</v>
      </c>
      <c r="V15" s="6"/>
      <c r="W15" s="6">
        <v>781470207.54000008</v>
      </c>
      <c r="X15" s="6"/>
      <c r="Y15" s="6"/>
      <c r="Z15" s="6"/>
      <c r="AA15" s="6"/>
      <c r="AB15" s="6"/>
      <c r="AC15" s="6"/>
      <c r="AD15" s="6"/>
      <c r="AE15" s="6"/>
      <c r="AF15" s="6"/>
      <c r="AG15" s="6">
        <v>24.42</v>
      </c>
      <c r="AH15" s="6"/>
      <c r="AI15" s="6">
        <v>780845250.9000001</v>
      </c>
      <c r="AJ15" s="7" t="s">
        <v>26</v>
      </c>
      <c r="AK15" s="7" t="s">
        <v>33</v>
      </c>
      <c r="AL15" s="6"/>
      <c r="AM15" s="7" t="s">
        <v>71</v>
      </c>
      <c r="AO15" s="1">
        <v>45291</v>
      </c>
      <c r="AP15" s="6"/>
      <c r="AQ15" s="6">
        <v>3324365371.1100001</v>
      </c>
      <c r="AR15" s="6"/>
      <c r="AS15" s="6"/>
      <c r="AT15" s="6"/>
      <c r="AU15" s="6"/>
      <c r="AV15" s="6"/>
      <c r="AW15" s="6"/>
      <c r="AX15" s="6"/>
      <c r="AY15" s="6"/>
      <c r="AZ15" s="6"/>
      <c r="BA15" s="6">
        <v>15.43</v>
      </c>
      <c r="BB15" s="6"/>
      <c r="BC15" s="6">
        <v>3332519154.02</v>
      </c>
      <c r="BD15" s="7" t="s">
        <v>26</v>
      </c>
      <c r="BE15" s="7" t="s">
        <v>33</v>
      </c>
      <c r="BF15" s="6"/>
      <c r="BG15" s="7" t="s">
        <v>67</v>
      </c>
      <c r="BI15" s="1">
        <v>45291</v>
      </c>
      <c r="BJ15" s="6"/>
      <c r="BK15" s="6">
        <v>2920375707.48</v>
      </c>
      <c r="BL15" s="6"/>
      <c r="BM15" s="6"/>
      <c r="BN15" s="6"/>
      <c r="BO15" s="6"/>
      <c r="BP15" s="6"/>
      <c r="BQ15" s="6"/>
      <c r="BR15" s="6"/>
      <c r="BS15" s="6"/>
      <c r="BT15" s="6"/>
      <c r="BU15" s="6">
        <v>27.72</v>
      </c>
      <c r="BV15" s="6"/>
      <c r="BW15" s="6">
        <v>3015748917.7199998</v>
      </c>
      <c r="BX15" s="7" t="s">
        <v>26</v>
      </c>
      <c r="BY15" s="7" t="s">
        <v>33</v>
      </c>
      <c r="BZ15" s="6"/>
      <c r="CA15" s="7" t="s">
        <v>66</v>
      </c>
      <c r="CC15" s="1">
        <v>45291</v>
      </c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>
        <v>0.1</v>
      </c>
      <c r="CP15" s="6"/>
      <c r="CQ15" s="6"/>
      <c r="CR15" s="8"/>
      <c r="CS15" s="7" t="s">
        <v>33</v>
      </c>
      <c r="CT15" s="6"/>
      <c r="CU15" s="7" t="s">
        <v>69</v>
      </c>
      <c r="CW15" s="1">
        <v>45291</v>
      </c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>
        <v>7.63</v>
      </c>
      <c r="DJ15" s="6"/>
      <c r="DK15" s="6"/>
      <c r="DL15" s="7" t="s">
        <v>70</v>
      </c>
      <c r="DM15" s="7" t="s">
        <v>33</v>
      </c>
      <c r="DN15" s="6"/>
      <c r="DO15" s="7" t="s">
        <v>73</v>
      </c>
      <c r="DQ15" s="1">
        <v>45291</v>
      </c>
      <c r="DR15" s="6"/>
      <c r="DS15" s="6">
        <v>1460099534.3999999</v>
      </c>
      <c r="DT15" s="6"/>
      <c r="DU15" s="6"/>
      <c r="DV15" s="6"/>
      <c r="DW15" s="6"/>
      <c r="DX15" s="6"/>
      <c r="DY15" s="6"/>
      <c r="DZ15" s="6"/>
      <c r="EA15" s="6"/>
      <c r="EB15" s="6"/>
      <c r="EC15" s="6">
        <v>23.4</v>
      </c>
      <c r="ED15" s="6"/>
      <c r="EE15" s="6">
        <v>1460099534.3999999</v>
      </c>
      <c r="EF15" s="7" t="s">
        <v>26</v>
      </c>
      <c r="EG15" s="7" t="s">
        <v>33</v>
      </c>
      <c r="EH15" s="6"/>
      <c r="EI15" s="7" t="s">
        <v>72</v>
      </c>
      <c r="EK15" s="1">
        <v>45291</v>
      </c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>
        <v>25.34</v>
      </c>
      <c r="EX15" s="6"/>
      <c r="EY15" s="6"/>
      <c r="EZ15" s="7" t="s">
        <v>26</v>
      </c>
      <c r="FA15" s="7" t="s">
        <v>33</v>
      </c>
      <c r="FB15" s="6"/>
      <c r="FC15" s="7" t="s">
        <v>68</v>
      </c>
      <c r="FE15" s="1">
        <v>45291</v>
      </c>
      <c r="FF15" s="6"/>
      <c r="FG15" s="6">
        <v>2048871283.1999998</v>
      </c>
      <c r="FH15" s="6"/>
      <c r="FI15" s="6"/>
      <c r="FJ15" s="6"/>
      <c r="FK15" s="6"/>
      <c r="FL15" s="6"/>
      <c r="FM15" s="6"/>
      <c r="FN15" s="6"/>
      <c r="FO15" s="6"/>
      <c r="FP15" s="6"/>
      <c r="FQ15" s="6">
        <v>19.2</v>
      </c>
      <c r="FR15" s="6"/>
      <c r="FS15" s="6">
        <v>2051470809.5999999</v>
      </c>
      <c r="FT15" s="7" t="s">
        <v>26</v>
      </c>
      <c r="FU15" s="7" t="s">
        <v>33</v>
      </c>
      <c r="FV15" s="6"/>
      <c r="FW15" s="7" t="s">
        <v>74</v>
      </c>
    </row>
    <row r="16" spans="1:179" x14ac:dyDescent="0.35">
      <c r="A16" s="9">
        <v>45657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>
        <v>18.59</v>
      </c>
      <c r="N16" s="6"/>
      <c r="O16" s="6"/>
      <c r="P16" s="7" t="s">
        <v>26</v>
      </c>
      <c r="Q16" s="7" t="s">
        <v>33</v>
      </c>
      <c r="R16" s="6"/>
      <c r="S16" s="7" t="s">
        <v>34</v>
      </c>
      <c r="U16" s="9">
        <v>45657</v>
      </c>
      <c r="V16" s="6"/>
      <c r="W16" s="6">
        <v>903217186.07000005</v>
      </c>
      <c r="X16" s="6"/>
      <c r="Y16" s="6"/>
      <c r="Z16" s="6"/>
      <c r="AA16" s="6"/>
      <c r="AB16" s="6"/>
      <c r="AC16" s="6"/>
      <c r="AD16" s="6"/>
      <c r="AE16" s="6"/>
      <c r="AF16" s="6"/>
      <c r="AG16" s="6">
        <v>29.41</v>
      </c>
      <c r="AH16" s="6"/>
      <c r="AI16" s="6">
        <v>903217186.07000005</v>
      </c>
      <c r="AJ16" s="7" t="s">
        <v>26</v>
      </c>
      <c r="AK16" s="7" t="s">
        <v>33</v>
      </c>
      <c r="AL16" s="6"/>
      <c r="AM16" s="7" t="s">
        <v>71</v>
      </c>
      <c r="AO16" s="1">
        <v>45657</v>
      </c>
      <c r="AP16" s="6"/>
      <c r="AQ16" s="6">
        <v>5038275880.3200006</v>
      </c>
      <c r="AR16" s="6"/>
      <c r="AS16" s="6"/>
      <c r="AT16" s="6"/>
      <c r="AU16" s="6"/>
      <c r="AV16" s="6"/>
      <c r="AW16" s="6"/>
      <c r="AX16" s="6"/>
      <c r="AY16" s="6"/>
      <c r="AZ16" s="6"/>
      <c r="BA16" s="6">
        <v>19.920000000000002</v>
      </c>
      <c r="BB16" s="6"/>
      <c r="BC16" s="6">
        <v>5038275880.3199997</v>
      </c>
      <c r="BD16" s="7" t="s">
        <v>26</v>
      </c>
      <c r="BE16" s="7" t="s">
        <v>33</v>
      </c>
      <c r="BF16" s="6"/>
      <c r="BG16" s="7" t="s">
        <v>67</v>
      </c>
      <c r="BI16" s="1">
        <v>45657</v>
      </c>
      <c r="BJ16" s="6"/>
      <c r="BK16" s="6">
        <v>3847769544.2900004</v>
      </c>
      <c r="BL16" s="6"/>
      <c r="BM16" s="6"/>
      <c r="BN16" s="6"/>
      <c r="BO16" s="6"/>
      <c r="BP16" s="6"/>
      <c r="BQ16" s="6"/>
      <c r="BR16" s="6"/>
      <c r="BS16" s="6"/>
      <c r="BT16" s="6"/>
      <c r="BU16" s="6">
        <v>34.130000000000003</v>
      </c>
      <c r="BV16" s="6"/>
      <c r="BW16" s="6">
        <v>3847769544.2900009</v>
      </c>
      <c r="BX16" s="7" t="s">
        <v>26</v>
      </c>
      <c r="BY16" s="7" t="s">
        <v>33</v>
      </c>
      <c r="BZ16" s="6"/>
      <c r="CA16" s="7" t="s">
        <v>66</v>
      </c>
      <c r="CC16" s="1">
        <v>45657</v>
      </c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>
        <v>0.1</v>
      </c>
      <c r="CP16" s="6"/>
      <c r="CQ16" s="6"/>
      <c r="CR16" s="8"/>
      <c r="CS16" s="7" t="s">
        <v>33</v>
      </c>
      <c r="CT16" s="6"/>
      <c r="CU16" s="7" t="s">
        <v>69</v>
      </c>
      <c r="CW16" s="1">
        <v>45657</v>
      </c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>
        <v>7.63</v>
      </c>
      <c r="DJ16" s="6"/>
      <c r="DK16" s="6"/>
      <c r="DL16" s="7" t="s">
        <v>70</v>
      </c>
      <c r="DM16" s="7" t="s">
        <v>33</v>
      </c>
      <c r="DN16" s="6"/>
      <c r="DO16" s="7" t="s">
        <v>73</v>
      </c>
      <c r="DQ16" s="1">
        <v>45657</v>
      </c>
      <c r="DR16" s="6"/>
      <c r="DS16" s="6">
        <v>1153104247.6800001</v>
      </c>
      <c r="DT16" s="6"/>
      <c r="DU16" s="6"/>
      <c r="DV16" s="6"/>
      <c r="DW16" s="6"/>
      <c r="DX16" s="6"/>
      <c r="DY16" s="6"/>
      <c r="DZ16" s="6"/>
      <c r="EA16" s="6"/>
      <c r="EB16" s="6"/>
      <c r="EC16" s="6">
        <v>18.48</v>
      </c>
      <c r="ED16" s="6"/>
      <c r="EE16" s="6">
        <v>1153104247.6800001</v>
      </c>
      <c r="EF16" s="7" t="s">
        <v>26</v>
      </c>
      <c r="EG16" s="7" t="s">
        <v>33</v>
      </c>
      <c r="EH16" s="6"/>
      <c r="EI16" s="7" t="s">
        <v>72</v>
      </c>
      <c r="EK16" s="1">
        <v>45657</v>
      </c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>
        <v>25.34</v>
      </c>
      <c r="EX16" s="6"/>
      <c r="EY16" s="6"/>
      <c r="EZ16" s="7" t="s">
        <v>26</v>
      </c>
      <c r="FA16" s="7" t="s">
        <v>33</v>
      </c>
      <c r="FB16" s="6"/>
      <c r="FC16" s="7" t="s">
        <v>68</v>
      </c>
      <c r="FE16" s="1">
        <v>45657</v>
      </c>
      <c r="FF16" s="6"/>
      <c r="FG16" s="6">
        <v>189119965.25999999</v>
      </c>
      <c r="FH16" s="6"/>
      <c r="FI16" s="6"/>
      <c r="FJ16" s="6"/>
      <c r="FK16" s="6"/>
      <c r="FL16" s="6"/>
      <c r="FM16" s="6"/>
      <c r="FN16" s="6"/>
      <c r="FO16" s="6"/>
      <c r="FP16" s="6"/>
      <c r="FQ16" s="6">
        <v>1.77</v>
      </c>
      <c r="FR16" s="6"/>
      <c r="FS16" s="6">
        <v>189119965.25999999</v>
      </c>
      <c r="FT16" s="7" t="s">
        <v>26</v>
      </c>
      <c r="FU16" s="7" t="s">
        <v>33</v>
      </c>
      <c r="FV16" s="6"/>
      <c r="FW16" s="7" t="s">
        <v>74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S16"/>
  <sheetViews>
    <sheetView workbookViewId="0">
      <selection activeCell="U4" sqref="U4:U16"/>
    </sheetView>
  </sheetViews>
  <sheetFormatPr defaultColWidth="8.81640625" defaultRowHeight="14.5" x14ac:dyDescent="0.35"/>
  <cols>
    <col min="1" max="1" width="12.1796875" bestFit="1" customWidth="1"/>
    <col min="21" max="21" width="12.1796875" bestFit="1" customWidth="1"/>
    <col min="41" max="41" width="12.1796875" bestFit="1" customWidth="1"/>
    <col min="61" max="61" width="12.1796875" bestFit="1" customWidth="1"/>
    <col min="81" max="81" width="12.1796875" bestFit="1" customWidth="1"/>
    <col min="101" max="101" width="12.1796875" bestFit="1" customWidth="1"/>
    <col min="121" max="121" width="12.1796875" bestFit="1" customWidth="1"/>
    <col min="141" max="141" width="12.1796875" bestFit="1" customWidth="1"/>
    <col min="161" max="161" width="12.1796875" bestFit="1" customWidth="1"/>
    <col min="181" max="181" width="12.1796875" bestFit="1" customWidth="1"/>
    <col min="201" max="201" width="12.1796875" bestFit="1" customWidth="1"/>
    <col min="221" max="221" width="12.1796875" bestFit="1" customWidth="1"/>
    <col min="241" max="241" width="12.1796875" bestFit="1" customWidth="1"/>
    <col min="261" max="261" width="12.1796875" bestFit="1" customWidth="1"/>
  </cols>
  <sheetData>
    <row r="1" spans="1:279" x14ac:dyDescent="0.35">
      <c r="A1" s="2" t="s">
        <v>0</v>
      </c>
      <c r="B1" s="3" t="s">
        <v>75</v>
      </c>
      <c r="U1" s="2" t="s">
        <v>0</v>
      </c>
      <c r="V1" s="3" t="s">
        <v>76</v>
      </c>
      <c r="AO1" s="2" t="s">
        <v>0</v>
      </c>
      <c r="AP1" s="3" t="s">
        <v>77</v>
      </c>
      <c r="BI1" s="2" t="s">
        <v>0</v>
      </c>
      <c r="BJ1" s="3" t="s">
        <v>78</v>
      </c>
      <c r="CC1" s="2" t="s">
        <v>0</v>
      </c>
      <c r="CD1" s="3" t="s">
        <v>79</v>
      </c>
      <c r="CW1" s="2" t="s">
        <v>0</v>
      </c>
      <c r="CX1" s="3" t="s">
        <v>80</v>
      </c>
      <c r="DQ1" s="2" t="s">
        <v>0</v>
      </c>
      <c r="DR1" s="3" t="s">
        <v>81</v>
      </c>
      <c r="EK1" s="2" t="s">
        <v>0</v>
      </c>
      <c r="EL1" s="3" t="s">
        <v>82</v>
      </c>
      <c r="FE1" s="2" t="s">
        <v>0</v>
      </c>
      <c r="FF1" s="3" t="s">
        <v>83</v>
      </c>
      <c r="FY1" s="2" t="s">
        <v>0</v>
      </c>
      <c r="FZ1" s="3" t="s">
        <v>84</v>
      </c>
      <c r="GS1" s="2" t="s">
        <v>0</v>
      </c>
      <c r="GT1" s="3" t="s">
        <v>85</v>
      </c>
      <c r="HM1" s="2" t="s">
        <v>0</v>
      </c>
      <c r="HN1" s="3" t="s">
        <v>86</v>
      </c>
      <c r="IG1" s="2" t="s">
        <v>0</v>
      </c>
      <c r="IH1" s="3" t="s">
        <v>87</v>
      </c>
      <c r="JA1" s="2" t="s">
        <v>0</v>
      </c>
      <c r="JB1" s="3" t="s">
        <v>88</v>
      </c>
    </row>
    <row r="2" spans="1:279" ht="188.5" x14ac:dyDescent="0.35">
      <c r="A2" s="4" t="s">
        <v>1</v>
      </c>
      <c r="B2" s="5" t="s">
        <v>3</v>
      </c>
      <c r="C2" s="5" t="s">
        <v>4</v>
      </c>
      <c r="D2" s="5" t="s">
        <v>5</v>
      </c>
      <c r="E2" s="5" t="s">
        <v>49</v>
      </c>
      <c r="F2" s="5" t="s">
        <v>6</v>
      </c>
      <c r="G2" s="4" t="s">
        <v>54</v>
      </c>
      <c r="H2" s="4" t="s">
        <v>55</v>
      </c>
      <c r="I2" s="5" t="s">
        <v>7</v>
      </c>
      <c r="J2" s="5" t="s">
        <v>8</v>
      </c>
      <c r="K2" s="5" t="s">
        <v>9</v>
      </c>
      <c r="L2" s="5" t="s">
        <v>10</v>
      </c>
      <c r="M2" s="4" t="s">
        <v>47</v>
      </c>
      <c r="N2" s="5" t="s">
        <v>46</v>
      </c>
      <c r="O2" s="5" t="s">
        <v>48</v>
      </c>
      <c r="P2" s="5" t="s">
        <v>30</v>
      </c>
      <c r="Q2" s="4" t="s">
        <v>11</v>
      </c>
      <c r="R2" s="4" t="s">
        <v>24</v>
      </c>
      <c r="S2" s="4" t="s">
        <v>31</v>
      </c>
      <c r="U2" s="4" t="s">
        <v>1</v>
      </c>
      <c r="V2" s="5" t="s">
        <v>3</v>
      </c>
      <c r="W2" s="5" t="s">
        <v>4</v>
      </c>
      <c r="X2" s="5" t="s">
        <v>5</v>
      </c>
      <c r="Y2" s="5" t="s">
        <v>49</v>
      </c>
      <c r="Z2" s="5" t="s">
        <v>6</v>
      </c>
      <c r="AA2" s="4" t="s">
        <v>54</v>
      </c>
      <c r="AB2" s="4" t="s">
        <v>55</v>
      </c>
      <c r="AC2" s="5" t="s">
        <v>7</v>
      </c>
      <c r="AD2" s="5" t="s">
        <v>8</v>
      </c>
      <c r="AE2" s="5" t="s">
        <v>9</v>
      </c>
      <c r="AF2" s="5" t="s">
        <v>10</v>
      </c>
      <c r="AG2" s="4" t="s">
        <v>47</v>
      </c>
      <c r="AH2" s="5" t="s">
        <v>46</v>
      </c>
      <c r="AI2" s="5" t="s">
        <v>48</v>
      </c>
      <c r="AJ2" s="5" t="s">
        <v>30</v>
      </c>
      <c r="AK2" s="4" t="s">
        <v>11</v>
      </c>
      <c r="AL2" s="4" t="s">
        <v>24</v>
      </c>
      <c r="AM2" s="4" t="s">
        <v>31</v>
      </c>
      <c r="AO2" s="4" t="s">
        <v>1</v>
      </c>
      <c r="AP2" s="5" t="s">
        <v>3</v>
      </c>
      <c r="AQ2" s="5" t="s">
        <v>4</v>
      </c>
      <c r="AR2" s="5" t="s">
        <v>5</v>
      </c>
      <c r="AS2" s="5" t="s">
        <v>49</v>
      </c>
      <c r="AT2" s="5" t="s">
        <v>6</v>
      </c>
      <c r="AU2" s="4" t="s">
        <v>54</v>
      </c>
      <c r="AV2" s="4" t="s">
        <v>55</v>
      </c>
      <c r="AW2" s="5" t="s">
        <v>7</v>
      </c>
      <c r="AX2" s="5" t="s">
        <v>8</v>
      </c>
      <c r="AY2" s="5" t="s">
        <v>9</v>
      </c>
      <c r="AZ2" s="5" t="s">
        <v>10</v>
      </c>
      <c r="BA2" s="4" t="s">
        <v>47</v>
      </c>
      <c r="BB2" s="5" t="s">
        <v>46</v>
      </c>
      <c r="BC2" s="5" t="s">
        <v>48</v>
      </c>
      <c r="BD2" s="5" t="s">
        <v>30</v>
      </c>
      <c r="BE2" s="4" t="s">
        <v>11</v>
      </c>
      <c r="BF2" s="4" t="s">
        <v>24</v>
      </c>
      <c r="BG2" s="4" t="s">
        <v>31</v>
      </c>
      <c r="BI2" s="4" t="s">
        <v>1</v>
      </c>
      <c r="BJ2" s="5" t="s">
        <v>3</v>
      </c>
      <c r="BK2" s="5" t="s">
        <v>4</v>
      </c>
      <c r="BL2" s="5" t="s">
        <v>5</v>
      </c>
      <c r="BM2" s="5" t="s">
        <v>49</v>
      </c>
      <c r="BN2" s="5" t="s">
        <v>6</v>
      </c>
      <c r="BO2" s="4" t="s">
        <v>54</v>
      </c>
      <c r="BP2" s="4" t="s">
        <v>55</v>
      </c>
      <c r="BQ2" s="5" t="s">
        <v>7</v>
      </c>
      <c r="BR2" s="5" t="s">
        <v>8</v>
      </c>
      <c r="BS2" s="5" t="s">
        <v>9</v>
      </c>
      <c r="BT2" s="5" t="s">
        <v>10</v>
      </c>
      <c r="BU2" s="4" t="s">
        <v>47</v>
      </c>
      <c r="BV2" s="5" t="s">
        <v>46</v>
      </c>
      <c r="BW2" s="5" t="s">
        <v>48</v>
      </c>
      <c r="BX2" s="5" t="s">
        <v>30</v>
      </c>
      <c r="BY2" s="4" t="s">
        <v>11</v>
      </c>
      <c r="BZ2" s="4" t="s">
        <v>24</v>
      </c>
      <c r="CA2" s="4" t="s">
        <v>31</v>
      </c>
      <c r="CC2" s="4" t="s">
        <v>1</v>
      </c>
      <c r="CD2" s="5" t="s">
        <v>3</v>
      </c>
      <c r="CE2" s="5" t="s">
        <v>4</v>
      </c>
      <c r="CF2" s="5" t="s">
        <v>5</v>
      </c>
      <c r="CG2" s="5" t="s">
        <v>49</v>
      </c>
      <c r="CH2" s="5" t="s">
        <v>6</v>
      </c>
      <c r="CI2" s="4" t="s">
        <v>54</v>
      </c>
      <c r="CJ2" s="4" t="s">
        <v>55</v>
      </c>
      <c r="CK2" s="5" t="s">
        <v>7</v>
      </c>
      <c r="CL2" s="5" t="s">
        <v>8</v>
      </c>
      <c r="CM2" s="5" t="s">
        <v>9</v>
      </c>
      <c r="CN2" s="5" t="s">
        <v>10</v>
      </c>
      <c r="CO2" s="4" t="s">
        <v>47</v>
      </c>
      <c r="CP2" s="5" t="s">
        <v>46</v>
      </c>
      <c r="CQ2" s="5" t="s">
        <v>48</v>
      </c>
      <c r="CR2" s="5" t="s">
        <v>30</v>
      </c>
      <c r="CS2" s="4" t="s">
        <v>11</v>
      </c>
      <c r="CT2" s="4" t="s">
        <v>24</v>
      </c>
      <c r="CU2" s="4" t="s">
        <v>31</v>
      </c>
      <c r="CW2" s="4" t="s">
        <v>1</v>
      </c>
      <c r="CX2" s="5" t="s">
        <v>3</v>
      </c>
      <c r="CY2" s="5" t="s">
        <v>4</v>
      </c>
      <c r="CZ2" s="5" t="s">
        <v>5</v>
      </c>
      <c r="DA2" s="5" t="s">
        <v>49</v>
      </c>
      <c r="DB2" s="5" t="s">
        <v>6</v>
      </c>
      <c r="DC2" s="4" t="s">
        <v>54</v>
      </c>
      <c r="DD2" s="4" t="s">
        <v>55</v>
      </c>
      <c r="DE2" s="5" t="s">
        <v>7</v>
      </c>
      <c r="DF2" s="5" t="s">
        <v>8</v>
      </c>
      <c r="DG2" s="5" t="s">
        <v>9</v>
      </c>
      <c r="DH2" s="5" t="s">
        <v>10</v>
      </c>
      <c r="DI2" s="4" t="s">
        <v>47</v>
      </c>
      <c r="DJ2" s="5" t="s">
        <v>46</v>
      </c>
      <c r="DK2" s="5" t="s">
        <v>48</v>
      </c>
      <c r="DL2" s="5" t="s">
        <v>30</v>
      </c>
      <c r="DM2" s="4" t="s">
        <v>11</v>
      </c>
      <c r="DN2" s="4" t="s">
        <v>24</v>
      </c>
      <c r="DO2" s="4" t="s">
        <v>31</v>
      </c>
      <c r="DQ2" s="4" t="s">
        <v>1</v>
      </c>
      <c r="DR2" s="5" t="s">
        <v>3</v>
      </c>
      <c r="DS2" s="5" t="s">
        <v>4</v>
      </c>
      <c r="DT2" s="5" t="s">
        <v>5</v>
      </c>
      <c r="DU2" s="5" t="s">
        <v>49</v>
      </c>
      <c r="DV2" s="5" t="s">
        <v>6</v>
      </c>
      <c r="DW2" s="4" t="s">
        <v>54</v>
      </c>
      <c r="DX2" s="4" t="s">
        <v>55</v>
      </c>
      <c r="DY2" s="5" t="s">
        <v>7</v>
      </c>
      <c r="DZ2" s="5" t="s">
        <v>8</v>
      </c>
      <c r="EA2" s="5" t="s">
        <v>9</v>
      </c>
      <c r="EB2" s="5" t="s">
        <v>10</v>
      </c>
      <c r="EC2" s="4" t="s">
        <v>47</v>
      </c>
      <c r="ED2" s="5" t="s">
        <v>46</v>
      </c>
      <c r="EE2" s="5" t="s">
        <v>48</v>
      </c>
      <c r="EF2" s="5" t="s">
        <v>30</v>
      </c>
      <c r="EG2" s="4" t="s">
        <v>11</v>
      </c>
      <c r="EH2" s="4" t="s">
        <v>24</v>
      </c>
      <c r="EI2" s="4" t="s">
        <v>31</v>
      </c>
      <c r="EK2" s="4" t="s">
        <v>1</v>
      </c>
      <c r="EL2" s="5" t="s">
        <v>3</v>
      </c>
      <c r="EM2" s="5" t="s">
        <v>4</v>
      </c>
      <c r="EN2" s="5" t="s">
        <v>5</v>
      </c>
      <c r="EO2" s="5" t="s">
        <v>49</v>
      </c>
      <c r="EP2" s="5" t="s">
        <v>6</v>
      </c>
      <c r="EQ2" s="4" t="s">
        <v>54</v>
      </c>
      <c r="ER2" s="4" t="s">
        <v>55</v>
      </c>
      <c r="ES2" s="5" t="s">
        <v>7</v>
      </c>
      <c r="ET2" s="5" t="s">
        <v>8</v>
      </c>
      <c r="EU2" s="5" t="s">
        <v>9</v>
      </c>
      <c r="EV2" s="5" t="s">
        <v>10</v>
      </c>
      <c r="EW2" s="4" t="s">
        <v>47</v>
      </c>
      <c r="EX2" s="5" t="s">
        <v>46</v>
      </c>
      <c r="EY2" s="5" t="s">
        <v>48</v>
      </c>
      <c r="EZ2" s="5" t="s">
        <v>30</v>
      </c>
      <c r="FA2" s="4" t="s">
        <v>11</v>
      </c>
      <c r="FB2" s="4" t="s">
        <v>24</v>
      </c>
      <c r="FC2" s="4" t="s">
        <v>31</v>
      </c>
      <c r="FE2" s="4" t="s">
        <v>1</v>
      </c>
      <c r="FF2" s="5" t="s">
        <v>3</v>
      </c>
      <c r="FG2" s="5" t="s">
        <v>4</v>
      </c>
      <c r="FH2" s="5" t="s">
        <v>5</v>
      </c>
      <c r="FI2" s="5" t="s">
        <v>49</v>
      </c>
      <c r="FJ2" s="5" t="s">
        <v>6</v>
      </c>
      <c r="FK2" s="4" t="s">
        <v>54</v>
      </c>
      <c r="FL2" s="4" t="s">
        <v>55</v>
      </c>
      <c r="FM2" s="5" t="s">
        <v>7</v>
      </c>
      <c r="FN2" s="5" t="s">
        <v>8</v>
      </c>
      <c r="FO2" s="5" t="s">
        <v>9</v>
      </c>
      <c r="FP2" s="5" t="s">
        <v>10</v>
      </c>
      <c r="FQ2" s="4" t="s">
        <v>47</v>
      </c>
      <c r="FR2" s="5" t="s">
        <v>46</v>
      </c>
      <c r="FS2" s="5" t="s">
        <v>48</v>
      </c>
      <c r="FT2" s="5" t="s">
        <v>30</v>
      </c>
      <c r="FU2" s="4" t="s">
        <v>11</v>
      </c>
      <c r="FV2" s="4" t="s">
        <v>24</v>
      </c>
      <c r="FW2" s="4" t="s">
        <v>31</v>
      </c>
      <c r="FY2" s="4" t="s">
        <v>1</v>
      </c>
      <c r="FZ2" s="5" t="s">
        <v>3</v>
      </c>
      <c r="GA2" s="5" t="s">
        <v>4</v>
      </c>
      <c r="GB2" s="5" t="s">
        <v>5</v>
      </c>
      <c r="GC2" s="5" t="s">
        <v>49</v>
      </c>
      <c r="GD2" s="5" t="s">
        <v>6</v>
      </c>
      <c r="GE2" s="4" t="s">
        <v>54</v>
      </c>
      <c r="GF2" s="4" t="s">
        <v>55</v>
      </c>
      <c r="GG2" s="5" t="s">
        <v>7</v>
      </c>
      <c r="GH2" s="5" t="s">
        <v>8</v>
      </c>
      <c r="GI2" s="5" t="s">
        <v>9</v>
      </c>
      <c r="GJ2" s="5" t="s">
        <v>10</v>
      </c>
      <c r="GK2" s="4" t="s">
        <v>47</v>
      </c>
      <c r="GL2" s="5" t="s">
        <v>46</v>
      </c>
      <c r="GM2" s="5" t="s">
        <v>48</v>
      </c>
      <c r="GN2" s="5" t="s">
        <v>30</v>
      </c>
      <c r="GO2" s="4" t="s">
        <v>11</v>
      </c>
      <c r="GP2" s="4" t="s">
        <v>24</v>
      </c>
      <c r="GQ2" s="4" t="s">
        <v>31</v>
      </c>
      <c r="GS2" s="4" t="s">
        <v>1</v>
      </c>
      <c r="GT2" s="5" t="s">
        <v>3</v>
      </c>
      <c r="GU2" s="5" t="s">
        <v>4</v>
      </c>
      <c r="GV2" s="5" t="s">
        <v>5</v>
      </c>
      <c r="GW2" s="5" t="s">
        <v>49</v>
      </c>
      <c r="GX2" s="5" t="s">
        <v>6</v>
      </c>
      <c r="GY2" s="4" t="s">
        <v>54</v>
      </c>
      <c r="GZ2" s="4" t="s">
        <v>55</v>
      </c>
      <c r="HA2" s="5" t="s">
        <v>7</v>
      </c>
      <c r="HB2" s="5" t="s">
        <v>8</v>
      </c>
      <c r="HC2" s="5" t="s">
        <v>9</v>
      </c>
      <c r="HD2" s="5" t="s">
        <v>10</v>
      </c>
      <c r="HE2" s="4" t="s">
        <v>47</v>
      </c>
      <c r="HF2" s="5" t="s">
        <v>46</v>
      </c>
      <c r="HG2" s="5" t="s">
        <v>48</v>
      </c>
      <c r="HH2" s="5" t="s">
        <v>30</v>
      </c>
      <c r="HI2" s="4" t="s">
        <v>11</v>
      </c>
      <c r="HJ2" s="4" t="s">
        <v>24</v>
      </c>
      <c r="HK2" s="4" t="s">
        <v>31</v>
      </c>
      <c r="HM2" s="4" t="s">
        <v>1</v>
      </c>
      <c r="HN2" s="5" t="s">
        <v>3</v>
      </c>
      <c r="HO2" s="5" t="s">
        <v>4</v>
      </c>
      <c r="HP2" s="5" t="s">
        <v>5</v>
      </c>
      <c r="HQ2" s="5" t="s">
        <v>49</v>
      </c>
      <c r="HR2" s="5" t="s">
        <v>6</v>
      </c>
      <c r="HS2" s="4" t="s">
        <v>54</v>
      </c>
      <c r="HT2" s="4" t="s">
        <v>55</v>
      </c>
      <c r="HU2" s="5" t="s">
        <v>7</v>
      </c>
      <c r="HV2" s="5" t="s">
        <v>8</v>
      </c>
      <c r="HW2" s="5" t="s">
        <v>9</v>
      </c>
      <c r="HX2" s="5" t="s">
        <v>10</v>
      </c>
      <c r="HY2" s="4" t="s">
        <v>47</v>
      </c>
      <c r="HZ2" s="5" t="s">
        <v>46</v>
      </c>
      <c r="IA2" s="5" t="s">
        <v>48</v>
      </c>
      <c r="IB2" s="5" t="s">
        <v>30</v>
      </c>
      <c r="IC2" s="4" t="s">
        <v>11</v>
      </c>
      <c r="ID2" s="4" t="s">
        <v>24</v>
      </c>
      <c r="IE2" s="4" t="s">
        <v>31</v>
      </c>
      <c r="IG2" s="4" t="s">
        <v>1</v>
      </c>
      <c r="IH2" s="5" t="s">
        <v>3</v>
      </c>
      <c r="II2" s="5" t="s">
        <v>4</v>
      </c>
      <c r="IJ2" s="5" t="s">
        <v>5</v>
      </c>
      <c r="IK2" s="5" t="s">
        <v>49</v>
      </c>
      <c r="IL2" s="5" t="s">
        <v>6</v>
      </c>
      <c r="IM2" s="4" t="s">
        <v>54</v>
      </c>
      <c r="IN2" s="4" t="s">
        <v>55</v>
      </c>
      <c r="IO2" s="5" t="s">
        <v>7</v>
      </c>
      <c r="IP2" s="5" t="s">
        <v>8</v>
      </c>
      <c r="IQ2" s="5" t="s">
        <v>9</v>
      </c>
      <c r="IR2" s="5" t="s">
        <v>10</v>
      </c>
      <c r="IS2" s="4" t="s">
        <v>47</v>
      </c>
      <c r="IT2" s="5" t="s">
        <v>46</v>
      </c>
      <c r="IU2" s="5" t="s">
        <v>48</v>
      </c>
      <c r="IV2" s="5" t="s">
        <v>30</v>
      </c>
      <c r="IW2" s="4" t="s">
        <v>11</v>
      </c>
      <c r="IX2" s="4" t="s">
        <v>24</v>
      </c>
      <c r="IY2" s="4" t="s">
        <v>31</v>
      </c>
      <c r="JA2" s="4" t="s">
        <v>1</v>
      </c>
      <c r="JB2" s="5" t="s">
        <v>3</v>
      </c>
      <c r="JC2" s="5" t="s">
        <v>4</v>
      </c>
      <c r="JD2" s="5" t="s">
        <v>5</v>
      </c>
      <c r="JE2" s="5" t="s">
        <v>49</v>
      </c>
      <c r="JF2" s="5" t="s">
        <v>6</v>
      </c>
      <c r="JG2" s="4" t="s">
        <v>54</v>
      </c>
      <c r="JH2" s="4" t="s">
        <v>55</v>
      </c>
      <c r="JI2" s="5" t="s">
        <v>7</v>
      </c>
      <c r="JJ2" s="5" t="s">
        <v>8</v>
      </c>
      <c r="JK2" s="5" t="s">
        <v>9</v>
      </c>
      <c r="JL2" s="5" t="s">
        <v>10</v>
      </c>
      <c r="JM2" s="4" t="s">
        <v>47</v>
      </c>
      <c r="JN2" s="5" t="s">
        <v>46</v>
      </c>
      <c r="JO2" s="5" t="s">
        <v>48</v>
      </c>
      <c r="JP2" s="5" t="s">
        <v>30</v>
      </c>
      <c r="JQ2" s="4" t="s">
        <v>11</v>
      </c>
      <c r="JR2" s="4" t="s">
        <v>24</v>
      </c>
      <c r="JS2" s="4" t="s">
        <v>31</v>
      </c>
    </row>
    <row r="3" spans="1:279" x14ac:dyDescent="0.35">
      <c r="A3" s="2" t="s">
        <v>2</v>
      </c>
      <c r="B3" s="3" t="s">
        <v>12</v>
      </c>
      <c r="C3" s="3" t="s">
        <v>13</v>
      </c>
      <c r="D3" s="3" t="s">
        <v>14</v>
      </c>
      <c r="E3" s="3" t="s">
        <v>53</v>
      </c>
      <c r="F3" s="3" t="s">
        <v>15</v>
      </c>
      <c r="G3" s="3" t="s">
        <v>56</v>
      </c>
      <c r="H3" s="3" t="s">
        <v>57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51</v>
      </c>
      <c r="N3" s="3" t="s">
        <v>50</v>
      </c>
      <c r="O3" s="3" t="s">
        <v>52</v>
      </c>
      <c r="P3" s="3" t="s">
        <v>20</v>
      </c>
      <c r="Q3" s="3" t="s">
        <v>21</v>
      </c>
      <c r="R3" s="3" t="s">
        <v>25</v>
      </c>
      <c r="S3" s="3" t="s">
        <v>32</v>
      </c>
      <c r="U3" s="2" t="s">
        <v>2</v>
      </c>
      <c r="V3" s="3" t="s">
        <v>12</v>
      </c>
      <c r="W3" s="3" t="s">
        <v>13</v>
      </c>
      <c r="X3" s="3" t="s">
        <v>14</v>
      </c>
      <c r="Y3" s="3" t="s">
        <v>53</v>
      </c>
      <c r="Z3" s="3" t="s">
        <v>15</v>
      </c>
      <c r="AA3" s="3" t="s">
        <v>56</v>
      </c>
      <c r="AB3" s="3" t="s">
        <v>57</v>
      </c>
      <c r="AC3" s="3" t="s">
        <v>16</v>
      </c>
      <c r="AD3" s="3" t="s">
        <v>17</v>
      </c>
      <c r="AE3" s="3" t="s">
        <v>18</v>
      </c>
      <c r="AF3" s="3" t="s">
        <v>19</v>
      </c>
      <c r="AG3" s="3" t="s">
        <v>51</v>
      </c>
      <c r="AH3" s="3" t="s">
        <v>50</v>
      </c>
      <c r="AI3" s="3" t="s">
        <v>52</v>
      </c>
      <c r="AJ3" s="3" t="s">
        <v>20</v>
      </c>
      <c r="AK3" s="3" t="s">
        <v>21</v>
      </c>
      <c r="AL3" s="3" t="s">
        <v>25</v>
      </c>
      <c r="AM3" s="3" t="s">
        <v>32</v>
      </c>
      <c r="AO3" s="2" t="s">
        <v>2</v>
      </c>
      <c r="AP3" s="3" t="s">
        <v>12</v>
      </c>
      <c r="AQ3" s="3" t="s">
        <v>13</v>
      </c>
      <c r="AR3" s="3" t="s">
        <v>14</v>
      </c>
      <c r="AS3" s="3" t="s">
        <v>53</v>
      </c>
      <c r="AT3" s="3" t="s">
        <v>15</v>
      </c>
      <c r="AU3" s="3" t="s">
        <v>56</v>
      </c>
      <c r="AV3" s="3" t="s">
        <v>57</v>
      </c>
      <c r="AW3" s="3" t="s">
        <v>16</v>
      </c>
      <c r="AX3" s="3" t="s">
        <v>17</v>
      </c>
      <c r="AY3" s="3" t="s">
        <v>18</v>
      </c>
      <c r="AZ3" s="3" t="s">
        <v>19</v>
      </c>
      <c r="BA3" s="3" t="s">
        <v>51</v>
      </c>
      <c r="BB3" s="3" t="s">
        <v>50</v>
      </c>
      <c r="BC3" s="3" t="s">
        <v>52</v>
      </c>
      <c r="BD3" s="3" t="s">
        <v>20</v>
      </c>
      <c r="BE3" s="3" t="s">
        <v>21</v>
      </c>
      <c r="BF3" s="3" t="s">
        <v>25</v>
      </c>
      <c r="BG3" s="3" t="s">
        <v>32</v>
      </c>
      <c r="BI3" s="2" t="s">
        <v>2</v>
      </c>
      <c r="BJ3" s="3" t="s">
        <v>12</v>
      </c>
      <c r="BK3" s="3" t="s">
        <v>13</v>
      </c>
      <c r="BL3" s="3" t="s">
        <v>14</v>
      </c>
      <c r="BM3" s="3" t="s">
        <v>53</v>
      </c>
      <c r="BN3" s="3" t="s">
        <v>15</v>
      </c>
      <c r="BO3" s="3" t="s">
        <v>56</v>
      </c>
      <c r="BP3" s="3" t="s">
        <v>57</v>
      </c>
      <c r="BQ3" s="3" t="s">
        <v>16</v>
      </c>
      <c r="BR3" s="3" t="s">
        <v>17</v>
      </c>
      <c r="BS3" s="3" t="s">
        <v>18</v>
      </c>
      <c r="BT3" s="3" t="s">
        <v>19</v>
      </c>
      <c r="BU3" s="3" t="s">
        <v>51</v>
      </c>
      <c r="BV3" s="3" t="s">
        <v>50</v>
      </c>
      <c r="BW3" s="3" t="s">
        <v>52</v>
      </c>
      <c r="BX3" s="3" t="s">
        <v>20</v>
      </c>
      <c r="BY3" s="3" t="s">
        <v>21</v>
      </c>
      <c r="BZ3" s="3" t="s">
        <v>25</v>
      </c>
      <c r="CA3" s="3" t="s">
        <v>32</v>
      </c>
      <c r="CC3" s="2" t="s">
        <v>2</v>
      </c>
      <c r="CD3" s="3" t="s">
        <v>12</v>
      </c>
      <c r="CE3" s="3" t="s">
        <v>13</v>
      </c>
      <c r="CF3" s="3" t="s">
        <v>14</v>
      </c>
      <c r="CG3" s="3" t="s">
        <v>53</v>
      </c>
      <c r="CH3" s="3" t="s">
        <v>15</v>
      </c>
      <c r="CI3" s="3" t="s">
        <v>56</v>
      </c>
      <c r="CJ3" s="3" t="s">
        <v>57</v>
      </c>
      <c r="CK3" s="3" t="s">
        <v>16</v>
      </c>
      <c r="CL3" s="3" t="s">
        <v>17</v>
      </c>
      <c r="CM3" s="3" t="s">
        <v>18</v>
      </c>
      <c r="CN3" s="3" t="s">
        <v>19</v>
      </c>
      <c r="CO3" s="3" t="s">
        <v>51</v>
      </c>
      <c r="CP3" s="3" t="s">
        <v>50</v>
      </c>
      <c r="CQ3" s="3" t="s">
        <v>52</v>
      </c>
      <c r="CR3" s="3" t="s">
        <v>20</v>
      </c>
      <c r="CS3" s="3" t="s">
        <v>21</v>
      </c>
      <c r="CT3" s="3" t="s">
        <v>25</v>
      </c>
      <c r="CU3" s="3" t="s">
        <v>32</v>
      </c>
      <c r="CW3" s="2" t="s">
        <v>2</v>
      </c>
      <c r="CX3" s="3" t="s">
        <v>12</v>
      </c>
      <c r="CY3" s="3" t="s">
        <v>13</v>
      </c>
      <c r="CZ3" s="3" t="s">
        <v>14</v>
      </c>
      <c r="DA3" s="3" t="s">
        <v>53</v>
      </c>
      <c r="DB3" s="3" t="s">
        <v>15</v>
      </c>
      <c r="DC3" s="3" t="s">
        <v>56</v>
      </c>
      <c r="DD3" s="3" t="s">
        <v>57</v>
      </c>
      <c r="DE3" s="3" t="s">
        <v>16</v>
      </c>
      <c r="DF3" s="3" t="s">
        <v>17</v>
      </c>
      <c r="DG3" s="3" t="s">
        <v>18</v>
      </c>
      <c r="DH3" s="3" t="s">
        <v>19</v>
      </c>
      <c r="DI3" s="3" t="s">
        <v>51</v>
      </c>
      <c r="DJ3" s="3" t="s">
        <v>50</v>
      </c>
      <c r="DK3" s="3" t="s">
        <v>52</v>
      </c>
      <c r="DL3" s="3" t="s">
        <v>20</v>
      </c>
      <c r="DM3" s="3" t="s">
        <v>21</v>
      </c>
      <c r="DN3" s="3" t="s">
        <v>25</v>
      </c>
      <c r="DO3" s="3" t="s">
        <v>32</v>
      </c>
      <c r="DQ3" s="2" t="s">
        <v>2</v>
      </c>
      <c r="DR3" s="3" t="s">
        <v>12</v>
      </c>
      <c r="DS3" s="3" t="s">
        <v>13</v>
      </c>
      <c r="DT3" s="3" t="s">
        <v>14</v>
      </c>
      <c r="DU3" s="3" t="s">
        <v>53</v>
      </c>
      <c r="DV3" s="3" t="s">
        <v>15</v>
      </c>
      <c r="DW3" s="3" t="s">
        <v>56</v>
      </c>
      <c r="DX3" s="3" t="s">
        <v>57</v>
      </c>
      <c r="DY3" s="3" t="s">
        <v>16</v>
      </c>
      <c r="DZ3" s="3" t="s">
        <v>17</v>
      </c>
      <c r="EA3" s="3" t="s">
        <v>18</v>
      </c>
      <c r="EB3" s="3" t="s">
        <v>19</v>
      </c>
      <c r="EC3" s="3" t="s">
        <v>51</v>
      </c>
      <c r="ED3" s="3" t="s">
        <v>50</v>
      </c>
      <c r="EE3" s="3" t="s">
        <v>52</v>
      </c>
      <c r="EF3" s="3" t="s">
        <v>20</v>
      </c>
      <c r="EG3" s="3" t="s">
        <v>21</v>
      </c>
      <c r="EH3" s="3" t="s">
        <v>25</v>
      </c>
      <c r="EI3" s="3" t="s">
        <v>32</v>
      </c>
      <c r="EK3" s="2" t="s">
        <v>2</v>
      </c>
      <c r="EL3" s="3" t="s">
        <v>12</v>
      </c>
      <c r="EM3" s="3" t="s">
        <v>13</v>
      </c>
      <c r="EN3" s="3" t="s">
        <v>14</v>
      </c>
      <c r="EO3" s="3" t="s">
        <v>53</v>
      </c>
      <c r="EP3" s="3" t="s">
        <v>15</v>
      </c>
      <c r="EQ3" s="3" t="s">
        <v>56</v>
      </c>
      <c r="ER3" s="3" t="s">
        <v>57</v>
      </c>
      <c r="ES3" s="3" t="s">
        <v>16</v>
      </c>
      <c r="ET3" s="3" t="s">
        <v>17</v>
      </c>
      <c r="EU3" s="3" t="s">
        <v>18</v>
      </c>
      <c r="EV3" s="3" t="s">
        <v>19</v>
      </c>
      <c r="EW3" s="3" t="s">
        <v>51</v>
      </c>
      <c r="EX3" s="3" t="s">
        <v>50</v>
      </c>
      <c r="EY3" s="3" t="s">
        <v>52</v>
      </c>
      <c r="EZ3" s="3" t="s">
        <v>20</v>
      </c>
      <c r="FA3" s="3" t="s">
        <v>21</v>
      </c>
      <c r="FB3" s="3" t="s">
        <v>25</v>
      </c>
      <c r="FC3" s="3" t="s">
        <v>32</v>
      </c>
      <c r="FE3" s="2" t="s">
        <v>2</v>
      </c>
      <c r="FF3" s="3" t="s">
        <v>12</v>
      </c>
      <c r="FG3" s="3" t="s">
        <v>13</v>
      </c>
      <c r="FH3" s="3" t="s">
        <v>14</v>
      </c>
      <c r="FI3" s="3" t="s">
        <v>53</v>
      </c>
      <c r="FJ3" s="3" t="s">
        <v>15</v>
      </c>
      <c r="FK3" s="3" t="s">
        <v>56</v>
      </c>
      <c r="FL3" s="3" t="s">
        <v>57</v>
      </c>
      <c r="FM3" s="3" t="s">
        <v>16</v>
      </c>
      <c r="FN3" s="3" t="s">
        <v>17</v>
      </c>
      <c r="FO3" s="3" t="s">
        <v>18</v>
      </c>
      <c r="FP3" s="3" t="s">
        <v>19</v>
      </c>
      <c r="FQ3" s="3" t="s">
        <v>51</v>
      </c>
      <c r="FR3" s="3" t="s">
        <v>50</v>
      </c>
      <c r="FS3" s="3" t="s">
        <v>52</v>
      </c>
      <c r="FT3" s="3" t="s">
        <v>20</v>
      </c>
      <c r="FU3" s="3" t="s">
        <v>21</v>
      </c>
      <c r="FV3" s="3" t="s">
        <v>25</v>
      </c>
      <c r="FW3" s="3" t="s">
        <v>32</v>
      </c>
      <c r="FY3" s="2" t="s">
        <v>2</v>
      </c>
      <c r="FZ3" s="3" t="s">
        <v>12</v>
      </c>
      <c r="GA3" s="3" t="s">
        <v>13</v>
      </c>
      <c r="GB3" s="3" t="s">
        <v>14</v>
      </c>
      <c r="GC3" s="3" t="s">
        <v>53</v>
      </c>
      <c r="GD3" s="3" t="s">
        <v>15</v>
      </c>
      <c r="GE3" s="3" t="s">
        <v>56</v>
      </c>
      <c r="GF3" s="3" t="s">
        <v>57</v>
      </c>
      <c r="GG3" s="3" t="s">
        <v>16</v>
      </c>
      <c r="GH3" s="3" t="s">
        <v>17</v>
      </c>
      <c r="GI3" s="3" t="s">
        <v>18</v>
      </c>
      <c r="GJ3" s="3" t="s">
        <v>19</v>
      </c>
      <c r="GK3" s="3" t="s">
        <v>51</v>
      </c>
      <c r="GL3" s="3" t="s">
        <v>50</v>
      </c>
      <c r="GM3" s="3" t="s">
        <v>52</v>
      </c>
      <c r="GN3" s="3" t="s">
        <v>20</v>
      </c>
      <c r="GO3" s="3" t="s">
        <v>21</v>
      </c>
      <c r="GP3" s="3" t="s">
        <v>25</v>
      </c>
      <c r="GQ3" s="3" t="s">
        <v>32</v>
      </c>
      <c r="GS3" s="2" t="s">
        <v>2</v>
      </c>
      <c r="GT3" s="3" t="s">
        <v>12</v>
      </c>
      <c r="GU3" s="3" t="s">
        <v>13</v>
      </c>
      <c r="GV3" s="3" t="s">
        <v>14</v>
      </c>
      <c r="GW3" s="3" t="s">
        <v>53</v>
      </c>
      <c r="GX3" s="3" t="s">
        <v>15</v>
      </c>
      <c r="GY3" s="3" t="s">
        <v>56</v>
      </c>
      <c r="GZ3" s="3" t="s">
        <v>57</v>
      </c>
      <c r="HA3" s="3" t="s">
        <v>16</v>
      </c>
      <c r="HB3" s="3" t="s">
        <v>17</v>
      </c>
      <c r="HC3" s="3" t="s">
        <v>18</v>
      </c>
      <c r="HD3" s="3" t="s">
        <v>19</v>
      </c>
      <c r="HE3" s="3" t="s">
        <v>51</v>
      </c>
      <c r="HF3" s="3" t="s">
        <v>50</v>
      </c>
      <c r="HG3" s="3" t="s">
        <v>52</v>
      </c>
      <c r="HH3" s="3" t="s">
        <v>20</v>
      </c>
      <c r="HI3" s="3" t="s">
        <v>21</v>
      </c>
      <c r="HJ3" s="3" t="s">
        <v>25</v>
      </c>
      <c r="HK3" s="3" t="s">
        <v>32</v>
      </c>
      <c r="HM3" s="2" t="s">
        <v>2</v>
      </c>
      <c r="HN3" s="3" t="s">
        <v>12</v>
      </c>
      <c r="HO3" s="3" t="s">
        <v>13</v>
      </c>
      <c r="HP3" s="3" t="s">
        <v>14</v>
      </c>
      <c r="HQ3" s="3" t="s">
        <v>53</v>
      </c>
      <c r="HR3" s="3" t="s">
        <v>15</v>
      </c>
      <c r="HS3" s="3" t="s">
        <v>56</v>
      </c>
      <c r="HT3" s="3" t="s">
        <v>57</v>
      </c>
      <c r="HU3" s="3" t="s">
        <v>16</v>
      </c>
      <c r="HV3" s="3" t="s">
        <v>17</v>
      </c>
      <c r="HW3" s="3" t="s">
        <v>18</v>
      </c>
      <c r="HX3" s="3" t="s">
        <v>19</v>
      </c>
      <c r="HY3" s="3" t="s">
        <v>51</v>
      </c>
      <c r="HZ3" s="3" t="s">
        <v>50</v>
      </c>
      <c r="IA3" s="3" t="s">
        <v>52</v>
      </c>
      <c r="IB3" s="3" t="s">
        <v>20</v>
      </c>
      <c r="IC3" s="3" t="s">
        <v>21</v>
      </c>
      <c r="ID3" s="3" t="s">
        <v>25</v>
      </c>
      <c r="IE3" s="3" t="s">
        <v>32</v>
      </c>
      <c r="IG3" s="2" t="s">
        <v>2</v>
      </c>
      <c r="IH3" s="3" t="s">
        <v>12</v>
      </c>
      <c r="II3" s="3" t="s">
        <v>13</v>
      </c>
      <c r="IJ3" s="3" t="s">
        <v>14</v>
      </c>
      <c r="IK3" s="3" t="s">
        <v>53</v>
      </c>
      <c r="IL3" s="3" t="s">
        <v>15</v>
      </c>
      <c r="IM3" s="3" t="s">
        <v>56</v>
      </c>
      <c r="IN3" s="3" t="s">
        <v>57</v>
      </c>
      <c r="IO3" s="3" t="s">
        <v>16</v>
      </c>
      <c r="IP3" s="3" t="s">
        <v>17</v>
      </c>
      <c r="IQ3" s="3" t="s">
        <v>18</v>
      </c>
      <c r="IR3" s="3" t="s">
        <v>19</v>
      </c>
      <c r="IS3" s="3" t="s">
        <v>51</v>
      </c>
      <c r="IT3" s="3" t="s">
        <v>50</v>
      </c>
      <c r="IU3" s="3" t="s">
        <v>52</v>
      </c>
      <c r="IV3" s="3" t="s">
        <v>20</v>
      </c>
      <c r="IW3" s="3" t="s">
        <v>21</v>
      </c>
      <c r="IX3" s="3" t="s">
        <v>25</v>
      </c>
      <c r="IY3" s="3" t="s">
        <v>32</v>
      </c>
      <c r="JA3" s="2" t="s">
        <v>2</v>
      </c>
      <c r="JB3" s="3" t="s">
        <v>12</v>
      </c>
      <c r="JC3" s="3" t="s">
        <v>13</v>
      </c>
      <c r="JD3" s="3" t="s">
        <v>14</v>
      </c>
      <c r="JE3" s="3" t="s">
        <v>53</v>
      </c>
      <c r="JF3" s="3" t="s">
        <v>15</v>
      </c>
      <c r="JG3" s="3" t="s">
        <v>56</v>
      </c>
      <c r="JH3" s="3" t="s">
        <v>57</v>
      </c>
      <c r="JI3" s="3" t="s">
        <v>16</v>
      </c>
      <c r="JJ3" s="3" t="s">
        <v>17</v>
      </c>
      <c r="JK3" s="3" t="s">
        <v>18</v>
      </c>
      <c r="JL3" s="3" t="s">
        <v>19</v>
      </c>
      <c r="JM3" s="3" t="s">
        <v>51</v>
      </c>
      <c r="JN3" s="3" t="s">
        <v>50</v>
      </c>
      <c r="JO3" s="3" t="s">
        <v>52</v>
      </c>
      <c r="JP3" s="3" t="s">
        <v>20</v>
      </c>
      <c r="JQ3" s="3" t="s">
        <v>21</v>
      </c>
      <c r="JR3" s="3" t="s">
        <v>25</v>
      </c>
      <c r="JS3" s="3" t="s">
        <v>32</v>
      </c>
    </row>
    <row r="4" spans="1:279" x14ac:dyDescent="0.35">
      <c r="A4" s="9">
        <v>41274</v>
      </c>
      <c r="B4" s="2" t="e">
        <f ca="1">[1]!WSD(B1,B3:S3,#REF!,#REF!,"unit=1","industryType=6","industryStandard=1","Per=FY","Days=Alldays","TradingCalendar=SSE","rptType=1","Version=1","ShowParams=Y","UnitMask=14239","cols=18;rows=13")</f>
        <v>#NAME?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 t="s">
        <v>23</v>
      </c>
      <c r="Q4" s="7" t="s">
        <v>103</v>
      </c>
      <c r="R4" s="6"/>
      <c r="S4" s="7" t="s">
        <v>104</v>
      </c>
      <c r="U4" s="9">
        <v>41274</v>
      </c>
      <c r="V4" s="2" t="e">
        <f ca="1">[1]!WSD(V1,V3:AM3,#REF!,#REF!,"unit=1","industryType=6","industryStandard=1","Per=FY","Days=Alldays","TradingCalendar=SSE","rptType=1","Version=1","ShowParams=Y","UnitMask=14239","cols=18;rows=13")</f>
        <v>#NAME?</v>
      </c>
      <c r="W4" s="6">
        <v>5860433282.6199999</v>
      </c>
      <c r="X4" s="6">
        <v>785442000</v>
      </c>
      <c r="Y4" s="6"/>
      <c r="Z4" s="6"/>
      <c r="AA4" s="6"/>
      <c r="AB4" s="6"/>
      <c r="AC4" s="6">
        <v>1082450000</v>
      </c>
      <c r="AD4" s="6"/>
      <c r="AE4" s="6"/>
      <c r="AF4" s="6"/>
      <c r="AG4" s="6">
        <v>30.02</v>
      </c>
      <c r="AH4" s="6"/>
      <c r="AI4" s="6">
        <v>5860433282.6199999</v>
      </c>
      <c r="AJ4" s="7" t="s">
        <v>23</v>
      </c>
      <c r="AK4" s="7" t="s">
        <v>93</v>
      </c>
      <c r="AL4" s="6"/>
      <c r="AM4" s="7" t="s">
        <v>94</v>
      </c>
      <c r="AO4" s="1">
        <v>41274</v>
      </c>
      <c r="AP4" s="2" t="e">
        <f ca="1">[1]!WSD(AP1,AP3:BG3,#REF!,#REF!,"unit=1","industryType=6","industryStandard=1","Per=FY","Days=Alldays","TradingCalendar=SSE","rptType=1","Version=1","ShowParams=Y","UnitMask=14239","cols=18;rows=13")</f>
        <v>#NAME?</v>
      </c>
      <c r="AQ4" s="6">
        <v>3480753572.7969999</v>
      </c>
      <c r="AR4" s="6"/>
      <c r="AS4" s="6"/>
      <c r="AT4" s="6"/>
      <c r="AU4" s="6"/>
      <c r="AV4" s="6"/>
      <c r="AW4" s="6"/>
      <c r="AX4" s="6"/>
      <c r="AY4" s="6"/>
      <c r="AZ4" s="6"/>
      <c r="BA4" s="6">
        <v>488.3</v>
      </c>
      <c r="BB4" s="6"/>
      <c r="BC4" s="6">
        <v>3480753572.7969999</v>
      </c>
      <c r="BD4" s="7" t="s">
        <v>23</v>
      </c>
      <c r="BE4" s="7" t="s">
        <v>89</v>
      </c>
      <c r="BF4" s="6"/>
      <c r="BG4" s="7" t="s">
        <v>99</v>
      </c>
      <c r="BI4" s="1">
        <v>41274</v>
      </c>
      <c r="BJ4" s="2" t="e">
        <f ca="1">[1]!WSD(BJ1,BJ3:CA3,#REF!,#REF!,"unit=1","industryType=6","industryStandard=1","Per=FY","Days=Alldays","TradingCalendar=SSE","rptType=1","Version=1","ShowParams=Y","UnitMask=14239","cols=18;rows=13")</f>
        <v>#NAME?</v>
      </c>
      <c r="BK4" s="6">
        <v>3041392449.5020003</v>
      </c>
      <c r="BL4" s="6"/>
      <c r="BM4" s="6"/>
      <c r="BN4" s="6"/>
      <c r="BO4" s="6"/>
      <c r="BP4" s="6"/>
      <c r="BQ4" s="6"/>
      <c r="BR4" s="6"/>
      <c r="BS4" s="6"/>
      <c r="BT4" s="6"/>
      <c r="BU4" s="6">
        <v>350.2</v>
      </c>
      <c r="BV4" s="6"/>
      <c r="BW4" s="6">
        <v>3041392449.5019994</v>
      </c>
      <c r="BX4" s="7" t="s">
        <v>23</v>
      </c>
      <c r="BY4" s="7" t="s">
        <v>89</v>
      </c>
      <c r="BZ4" s="6"/>
      <c r="CA4" s="7" t="s">
        <v>90</v>
      </c>
      <c r="CC4" s="1">
        <v>41274</v>
      </c>
      <c r="CD4" s="2" t="e">
        <f ca="1">[1]!WSD(CD1,CD3:CU3,#REF!,#REF!,"unit=1","industryType=6","industryStandard=1","Per=FY","Days=Alldays","TradingCalendar=SSE","rptType=1","Version=1","ShowParams=Y","UnitMask=14239","cols=18;rows=13")</f>
        <v>#NAME?</v>
      </c>
      <c r="CE4" s="6">
        <v>944452602</v>
      </c>
      <c r="CF4" s="6">
        <v>231072000</v>
      </c>
      <c r="CG4" s="6">
        <v>237600000</v>
      </c>
      <c r="CH4" s="6"/>
      <c r="CI4" s="6"/>
      <c r="CJ4" s="6"/>
      <c r="CK4" s="6">
        <v>369911000</v>
      </c>
      <c r="CL4" s="6"/>
      <c r="CM4" s="6"/>
      <c r="CN4" s="6"/>
      <c r="CO4" s="6">
        <v>10.75</v>
      </c>
      <c r="CP4" s="6"/>
      <c r="CQ4" s="6">
        <v>944452602.00000012</v>
      </c>
      <c r="CR4" s="7" t="s">
        <v>23</v>
      </c>
      <c r="CS4" s="7" t="s">
        <v>95</v>
      </c>
      <c r="CT4" s="6"/>
      <c r="CU4" s="7" t="s">
        <v>96</v>
      </c>
      <c r="CW4" s="1">
        <v>41274</v>
      </c>
      <c r="CX4" s="2" t="e">
        <f ca="1">[1]!WSD(CX1,CX3:DO3,#REF!,#REF!,"unit=1","industryType=6","industryStandard=1","Per=FY","Days=Alldays","TradingCalendar=SSE","rptType=1","Version=1","ShowParams=Y","UnitMask=14239","cols=18;rows=13")</f>
        <v>#NAME?</v>
      </c>
      <c r="CY4" s="6">
        <v>15876219148.4</v>
      </c>
      <c r="CZ4" s="6">
        <v>1758000000</v>
      </c>
      <c r="DA4" s="6"/>
      <c r="DB4" s="6"/>
      <c r="DC4" s="6"/>
      <c r="DD4" s="6"/>
      <c r="DE4" s="6">
        <v>3073000000</v>
      </c>
      <c r="DF4" s="6"/>
      <c r="DG4" s="6"/>
      <c r="DH4" s="6"/>
      <c r="DI4" s="6">
        <v>92.3</v>
      </c>
      <c r="DJ4" s="6"/>
      <c r="DK4" s="6">
        <v>15876219148.4</v>
      </c>
      <c r="DL4" s="7" t="s">
        <v>23</v>
      </c>
      <c r="DM4" s="7" t="s">
        <v>97</v>
      </c>
      <c r="DN4" s="6"/>
      <c r="DO4" s="7" t="s">
        <v>98</v>
      </c>
      <c r="DQ4" s="1">
        <v>41274</v>
      </c>
      <c r="DR4" s="2" t="e">
        <f ca="1">[1]!WSD(DR1,DR3:EI3,#REF!,#REF!,"unit=1","industryType=6","industryStandard=1","Per=FY","Days=Alldays","TradingCalendar=SSE","rptType=1","Version=1","ShowParams=Y","UnitMask=14239","cols=18;rows=13")</f>
        <v>#NAME?</v>
      </c>
      <c r="DS4" s="6">
        <v>1414450962.9200001</v>
      </c>
      <c r="DT4" s="6"/>
      <c r="DU4" s="6"/>
      <c r="DV4" s="6"/>
      <c r="DW4" s="6"/>
      <c r="DX4" s="6"/>
      <c r="DY4" s="6"/>
      <c r="DZ4" s="6"/>
      <c r="EA4" s="6"/>
      <c r="EB4" s="6"/>
      <c r="EC4" s="6">
        <v>562</v>
      </c>
      <c r="ED4" s="6"/>
      <c r="EE4" s="6"/>
      <c r="EF4" s="7" t="s">
        <v>23</v>
      </c>
      <c r="EG4" s="7" t="s">
        <v>89</v>
      </c>
      <c r="EH4" s="6"/>
      <c r="EI4" s="7" t="s">
        <v>91</v>
      </c>
      <c r="EK4" s="1">
        <v>41274</v>
      </c>
      <c r="EL4" s="2" t="e">
        <f ca="1">[1]!WSD(EL1,EL3:FC3,#REF!,#REF!,"unit=1","industryType=6","industryStandard=1","Per=FY","Days=Alldays","TradingCalendar=SSE","rptType=1","Version=1","ShowParams=Y","UnitMask=14239","cols=18;rows=13")</f>
        <v>#NAME?</v>
      </c>
      <c r="EM4" s="6">
        <v>4995805668.6599998</v>
      </c>
      <c r="EN4" s="6"/>
      <c r="EO4" s="6"/>
      <c r="EP4" s="6"/>
      <c r="EQ4" s="6"/>
      <c r="ER4" s="6"/>
      <c r="ES4" s="6"/>
      <c r="ET4" s="6"/>
      <c r="EU4" s="6"/>
      <c r="EV4" s="6"/>
      <c r="EW4" s="6">
        <v>562</v>
      </c>
      <c r="EX4" s="6"/>
      <c r="EY4" s="6">
        <v>4995805668.6600008</v>
      </c>
      <c r="EZ4" s="7" t="s">
        <v>23</v>
      </c>
      <c r="FA4" s="7" t="s">
        <v>89</v>
      </c>
      <c r="FB4" s="6"/>
      <c r="FC4" s="7" t="s">
        <v>92</v>
      </c>
      <c r="FE4" s="1">
        <v>41274</v>
      </c>
      <c r="FF4" s="2" t="e">
        <f ca="1">[1]!WSD(FF1,FF3:FW3,#REF!,#REF!,"unit=1","industryType=6","industryStandard=1","Per=FY","Days=Alldays","TradingCalendar=SSE","rptType=1","Version=1","ShowParams=Y","UnitMask=14239","cols=18;rows=13")</f>
        <v>#NAME?</v>
      </c>
      <c r="FG4" s="6"/>
      <c r="FH4" s="6"/>
      <c r="FI4" s="6"/>
      <c r="FJ4" s="6"/>
      <c r="FK4" s="6"/>
      <c r="FL4" s="6"/>
      <c r="FM4" s="6"/>
      <c r="FN4" s="6"/>
      <c r="FO4" s="6"/>
      <c r="FP4" s="6"/>
      <c r="FQ4" s="6">
        <v>206</v>
      </c>
      <c r="FR4" s="6"/>
      <c r="FS4" s="6"/>
      <c r="FT4" s="7" t="s">
        <v>23</v>
      </c>
      <c r="FU4" s="7" t="s">
        <v>89</v>
      </c>
      <c r="FV4" s="6"/>
      <c r="FW4" s="7" t="s">
        <v>100</v>
      </c>
      <c r="FY4" s="1">
        <v>41274</v>
      </c>
      <c r="FZ4" s="2" t="e">
        <f ca="1">[1]!WSD(FZ1,FZ3:GQ3,#REF!,#REF!,"unit=1","industryType=6","industryStandard=1","Per=FY","Days=Alldays","TradingCalendar=SSE","rptType=1","Version=1","ShowParams=Y","UnitMask=14239","cols=18;rows=13")</f>
        <v>#NAME?</v>
      </c>
      <c r="GA4" s="6">
        <v>5324625331.5</v>
      </c>
      <c r="GB4" s="6"/>
      <c r="GC4" s="6"/>
      <c r="GD4" s="6"/>
      <c r="GE4" s="6"/>
      <c r="GF4" s="6"/>
      <c r="GG4" s="6">
        <v>583517000</v>
      </c>
      <c r="GH4" s="6"/>
      <c r="GI4" s="6"/>
      <c r="GJ4" s="6"/>
      <c r="GK4" s="6">
        <v>84.9</v>
      </c>
      <c r="GL4" s="6"/>
      <c r="GM4" s="6">
        <v>5324625331.5</v>
      </c>
      <c r="GN4" s="7" t="s">
        <v>23</v>
      </c>
      <c r="GO4" s="7" t="s">
        <v>93</v>
      </c>
      <c r="GP4" s="6"/>
      <c r="GQ4" s="7" t="s">
        <v>101</v>
      </c>
      <c r="GS4" s="1">
        <v>41274</v>
      </c>
      <c r="GT4" s="2" t="e">
        <f ca="1">[1]!WSD(GT1,GT3:HK3,#REF!,#REF!,"unit=1","industryType=6","industryStandard=1","Per=FY","Days=Alldays","TradingCalendar=SSE","rptType=1","Version=1","ShowParams=Y","UnitMask=14239","cols=18;rows=13")</f>
        <v>#NAME?</v>
      </c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7" t="s">
        <v>26</v>
      </c>
      <c r="HI4" s="7" t="s">
        <v>103</v>
      </c>
      <c r="HJ4" s="6"/>
      <c r="HK4" s="8"/>
      <c r="HM4" s="1">
        <v>41274</v>
      </c>
      <c r="HN4" s="2" t="e">
        <f ca="1">[1]!WSD(HN1,HN3:IE3,#REF!,#REF!,"unit=1","industryType=6","industryStandard=1","Per=FY","Days=Alldays","TradingCalendar=SSE","rptType=1","Version=1","ShowParams=Y","UnitMask=14239","cols=18;rows=13")</f>
        <v>#NAME?</v>
      </c>
      <c r="HO4" s="6">
        <v>626305653.39999998</v>
      </c>
      <c r="HP4" s="6">
        <v>-13751000</v>
      </c>
      <c r="HQ4" s="6"/>
      <c r="HR4" s="6"/>
      <c r="HS4" s="6"/>
      <c r="HT4" s="6"/>
      <c r="HU4" s="6">
        <v>132881000</v>
      </c>
      <c r="HV4" s="6"/>
      <c r="HW4" s="6"/>
      <c r="HX4" s="6"/>
      <c r="HY4" s="6"/>
      <c r="HZ4" s="6"/>
      <c r="IA4" s="6"/>
      <c r="IB4" s="7" t="s">
        <v>26</v>
      </c>
      <c r="IC4" s="7" t="s">
        <v>103</v>
      </c>
      <c r="ID4" s="6"/>
      <c r="IE4" s="7" t="s">
        <v>105</v>
      </c>
      <c r="IG4" s="1">
        <v>41274</v>
      </c>
      <c r="IH4" s="2" t="e">
        <f ca="1">[1]!WSD(IH1,IH3:IY3,#REF!,#REF!,"unit=1","industryType=6","industryStandard=1","Per=FY","Days=Alldays","TradingCalendar=SSE","rptType=1","Version=1","ShowParams=Y","UnitMask=14239","cols=18;rows=13")</f>
        <v>#NAME?</v>
      </c>
      <c r="II4" s="6">
        <v>10874495859</v>
      </c>
      <c r="IJ4" s="6">
        <v>2563000000</v>
      </c>
      <c r="IK4" s="6">
        <v>2563000000</v>
      </c>
      <c r="IL4" s="6"/>
      <c r="IM4" s="6"/>
      <c r="IN4" s="6"/>
      <c r="IO4" s="6">
        <v>1870000000</v>
      </c>
      <c r="IP4" s="6"/>
      <c r="IQ4" s="6"/>
      <c r="IR4" s="6"/>
      <c r="IS4" s="6">
        <v>65.75</v>
      </c>
      <c r="IT4" s="6"/>
      <c r="IU4" s="6"/>
      <c r="IV4" s="7" t="s">
        <v>23</v>
      </c>
      <c r="IW4" s="7" t="s">
        <v>97</v>
      </c>
      <c r="IX4" s="6"/>
      <c r="IY4" s="7" t="s">
        <v>102</v>
      </c>
      <c r="JA4" s="1">
        <v>41274</v>
      </c>
      <c r="JB4" s="2" t="e">
        <f ca="1">[1]!WSD(JB1,JB3:JS3,#REF!,#REF!,"unit=1","industryType=6","industryStandard=1","Per=FY","Days=Alldays","TradingCalendar=SSE","rptType=1","Version=1","ShowParams=Y","UnitMask=14239","cols=18;rows=13")</f>
        <v>#NAME?</v>
      </c>
      <c r="JC4" s="6"/>
      <c r="JD4" s="6">
        <v>1068000000</v>
      </c>
      <c r="JE4" s="6"/>
      <c r="JF4" s="6"/>
      <c r="JG4" s="6"/>
      <c r="JH4" s="6"/>
      <c r="JI4" s="6">
        <v>1505000000</v>
      </c>
      <c r="JJ4" s="6"/>
      <c r="JK4" s="6"/>
      <c r="JL4" s="6"/>
      <c r="JM4" s="6">
        <v>101.5</v>
      </c>
      <c r="JN4" s="6"/>
      <c r="JO4" s="6"/>
      <c r="JP4" s="7" t="s">
        <v>23</v>
      </c>
      <c r="JQ4" s="7" t="s">
        <v>97</v>
      </c>
      <c r="JR4" s="6"/>
      <c r="JS4" s="7" t="s">
        <v>106</v>
      </c>
    </row>
    <row r="5" spans="1:279" x14ac:dyDescent="0.35">
      <c r="A5" s="9">
        <v>41639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 t="s">
        <v>23</v>
      </c>
      <c r="Q5" s="7" t="s">
        <v>103</v>
      </c>
      <c r="R5" s="6"/>
      <c r="S5" s="7" t="s">
        <v>104</v>
      </c>
      <c r="U5" s="9">
        <v>41639</v>
      </c>
      <c r="V5" s="6"/>
      <c r="W5" s="6">
        <v>6587321308.8300009</v>
      </c>
      <c r="X5" s="6">
        <v>651280000</v>
      </c>
      <c r="Y5" s="6"/>
      <c r="Z5" s="6"/>
      <c r="AA5" s="6"/>
      <c r="AB5" s="6"/>
      <c r="AC5" s="6">
        <v>1087373000</v>
      </c>
      <c r="AD5" s="6"/>
      <c r="AE5" s="6"/>
      <c r="AF5" s="6"/>
      <c r="AG5" s="6">
        <v>33.685000000000002</v>
      </c>
      <c r="AH5" s="6"/>
      <c r="AI5" s="6">
        <v>6587321308.8300009</v>
      </c>
      <c r="AJ5" s="7" t="s">
        <v>23</v>
      </c>
      <c r="AK5" s="7" t="s">
        <v>93</v>
      </c>
      <c r="AL5" s="6"/>
      <c r="AM5" s="7" t="s">
        <v>94</v>
      </c>
      <c r="AO5" s="1">
        <v>41639</v>
      </c>
      <c r="AP5" s="6"/>
      <c r="AQ5" s="6">
        <v>3578641887.4000001</v>
      </c>
      <c r="AR5" s="6"/>
      <c r="AS5" s="6"/>
      <c r="AT5" s="6"/>
      <c r="AU5" s="6"/>
      <c r="AV5" s="6"/>
      <c r="AW5" s="6"/>
      <c r="AX5" s="6"/>
      <c r="AY5" s="6"/>
      <c r="AZ5" s="6"/>
      <c r="BA5" s="6">
        <v>502</v>
      </c>
      <c r="BB5" s="6"/>
      <c r="BC5" s="6">
        <v>3578641887.3999996</v>
      </c>
      <c r="BD5" s="7" t="s">
        <v>23</v>
      </c>
      <c r="BE5" s="7" t="s">
        <v>89</v>
      </c>
      <c r="BF5" s="6"/>
      <c r="BG5" s="7" t="s">
        <v>99</v>
      </c>
      <c r="BI5" s="1">
        <v>41639</v>
      </c>
      <c r="BJ5" s="6"/>
      <c r="BK5" s="6">
        <v>3017947827.3989997</v>
      </c>
      <c r="BL5" s="6"/>
      <c r="BM5" s="6"/>
      <c r="BN5" s="6"/>
      <c r="BO5" s="6"/>
      <c r="BP5" s="6"/>
      <c r="BQ5" s="6"/>
      <c r="BR5" s="6"/>
      <c r="BS5" s="6"/>
      <c r="BT5" s="6"/>
      <c r="BU5" s="6">
        <v>309.89999999999998</v>
      </c>
      <c r="BV5" s="6"/>
      <c r="BW5" s="6">
        <v>3017947827.3989997</v>
      </c>
      <c r="BX5" s="7" t="s">
        <v>23</v>
      </c>
      <c r="BY5" s="7" t="s">
        <v>89</v>
      </c>
      <c r="BZ5" s="6"/>
      <c r="CA5" s="7" t="s">
        <v>90</v>
      </c>
      <c r="CC5" s="1">
        <v>41639</v>
      </c>
      <c r="CD5" s="6"/>
      <c r="CE5" s="6">
        <v>1131586001.28</v>
      </c>
      <c r="CF5" s="6">
        <v>223236000</v>
      </c>
      <c r="CG5" s="6">
        <v>230078000</v>
      </c>
      <c r="CH5" s="6"/>
      <c r="CI5" s="6"/>
      <c r="CJ5" s="6"/>
      <c r="CK5" s="6">
        <v>430001000</v>
      </c>
      <c r="CL5" s="6"/>
      <c r="CM5" s="6"/>
      <c r="CN5" s="6"/>
      <c r="CO5" s="6">
        <v>12.88</v>
      </c>
      <c r="CP5" s="6"/>
      <c r="CQ5" s="6">
        <v>1131586001.2800002</v>
      </c>
      <c r="CR5" s="7" t="s">
        <v>23</v>
      </c>
      <c r="CS5" s="7" t="s">
        <v>95</v>
      </c>
      <c r="CT5" s="6"/>
      <c r="CU5" s="7" t="s">
        <v>96</v>
      </c>
      <c r="CW5" s="1">
        <v>41639</v>
      </c>
      <c r="CX5" s="6"/>
      <c r="CY5" s="6">
        <v>17217871470.799999</v>
      </c>
      <c r="CZ5" s="6">
        <v>2803000000</v>
      </c>
      <c r="DA5" s="6"/>
      <c r="DB5" s="6"/>
      <c r="DC5" s="6"/>
      <c r="DD5" s="6"/>
      <c r="DE5" s="6">
        <v>3249000000</v>
      </c>
      <c r="DF5" s="6"/>
      <c r="DG5" s="6"/>
      <c r="DH5" s="6"/>
      <c r="DI5" s="6">
        <v>100.1</v>
      </c>
      <c r="DJ5" s="6"/>
      <c r="DK5" s="6">
        <v>17217871470.799999</v>
      </c>
      <c r="DL5" s="7" t="s">
        <v>23</v>
      </c>
      <c r="DM5" s="7" t="s">
        <v>97</v>
      </c>
      <c r="DN5" s="6"/>
      <c r="DO5" s="7" t="s">
        <v>98</v>
      </c>
      <c r="DQ5" s="1">
        <v>41639</v>
      </c>
      <c r="DR5" s="6"/>
      <c r="DS5" s="6">
        <v>1583784280.98</v>
      </c>
      <c r="DT5" s="6"/>
      <c r="DU5" s="6"/>
      <c r="DV5" s="6"/>
      <c r="DW5" s="6"/>
      <c r="DX5" s="6"/>
      <c r="DY5" s="6"/>
      <c r="DZ5" s="6"/>
      <c r="EA5" s="6"/>
      <c r="EB5" s="6"/>
      <c r="EC5" s="6">
        <v>627</v>
      </c>
      <c r="ED5" s="6"/>
      <c r="EE5" s="6"/>
      <c r="EF5" s="7" t="s">
        <v>23</v>
      </c>
      <c r="EG5" s="7" t="s">
        <v>89</v>
      </c>
      <c r="EH5" s="6"/>
      <c r="EI5" s="7" t="s">
        <v>91</v>
      </c>
      <c r="EK5" s="1">
        <v>41639</v>
      </c>
      <c r="EL5" s="6"/>
      <c r="EM5" s="6">
        <v>6204614778.4700003</v>
      </c>
      <c r="EN5" s="6"/>
      <c r="EO5" s="6"/>
      <c r="EP5" s="6"/>
      <c r="EQ5" s="6"/>
      <c r="ER5" s="6"/>
      <c r="ES5" s="6"/>
      <c r="ET5" s="6"/>
      <c r="EU5" s="6"/>
      <c r="EV5" s="6"/>
      <c r="EW5" s="6">
        <v>629</v>
      </c>
      <c r="EX5" s="6"/>
      <c r="EY5" s="6">
        <v>6204614778.4700003</v>
      </c>
      <c r="EZ5" s="7" t="s">
        <v>23</v>
      </c>
      <c r="FA5" s="7" t="s">
        <v>89</v>
      </c>
      <c r="FB5" s="6"/>
      <c r="FC5" s="7" t="s">
        <v>92</v>
      </c>
      <c r="FE5" s="1">
        <v>41639</v>
      </c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>
        <v>297.5</v>
      </c>
      <c r="FR5" s="6"/>
      <c r="FS5" s="6"/>
      <c r="FT5" s="7" t="s">
        <v>23</v>
      </c>
      <c r="FU5" s="7" t="s">
        <v>89</v>
      </c>
      <c r="FV5" s="6"/>
      <c r="FW5" s="7" t="s">
        <v>100</v>
      </c>
      <c r="FY5" s="1">
        <v>41639</v>
      </c>
      <c r="FZ5" s="6"/>
      <c r="GA5" s="6">
        <v>5857589444.8500004</v>
      </c>
      <c r="GB5" s="6"/>
      <c r="GC5" s="6"/>
      <c r="GD5" s="6"/>
      <c r="GE5" s="6"/>
      <c r="GF5" s="6"/>
      <c r="GG5" s="6">
        <v>588930000</v>
      </c>
      <c r="GH5" s="6"/>
      <c r="GI5" s="6"/>
      <c r="GJ5" s="6"/>
      <c r="GK5" s="6">
        <v>96.03</v>
      </c>
      <c r="GL5" s="6"/>
      <c r="GM5" s="6">
        <v>5857589444.8500004</v>
      </c>
      <c r="GN5" s="7" t="s">
        <v>23</v>
      </c>
      <c r="GO5" s="7" t="s">
        <v>93</v>
      </c>
      <c r="GP5" s="6"/>
      <c r="GQ5" s="7" t="s">
        <v>101</v>
      </c>
      <c r="GS5" s="1">
        <v>41639</v>
      </c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7" t="s">
        <v>26</v>
      </c>
      <c r="HI5" s="7" t="s">
        <v>103</v>
      </c>
      <c r="HJ5" s="6"/>
      <c r="HK5" s="8"/>
      <c r="HM5" s="1">
        <v>41639</v>
      </c>
      <c r="HN5" s="6"/>
      <c r="HO5" s="6">
        <v>635443243.48000002</v>
      </c>
      <c r="HP5" s="6">
        <v>-44650000</v>
      </c>
      <c r="HQ5" s="6"/>
      <c r="HR5" s="6"/>
      <c r="HS5" s="6"/>
      <c r="HT5" s="6"/>
      <c r="HU5" s="6">
        <v>122654000</v>
      </c>
      <c r="HV5" s="6"/>
      <c r="HW5" s="6"/>
      <c r="HX5" s="6"/>
      <c r="HY5" s="6"/>
      <c r="HZ5" s="6"/>
      <c r="IA5" s="6"/>
      <c r="IB5" s="7" t="s">
        <v>26</v>
      </c>
      <c r="IC5" s="7" t="s">
        <v>103</v>
      </c>
      <c r="ID5" s="6"/>
      <c r="IE5" s="7" t="s">
        <v>105</v>
      </c>
      <c r="IG5" s="1">
        <v>41639</v>
      </c>
      <c r="IH5" s="6"/>
      <c r="II5" s="6">
        <v>12702072729.6</v>
      </c>
      <c r="IJ5" s="6">
        <v>2757000000</v>
      </c>
      <c r="IK5" s="6">
        <v>2758000000</v>
      </c>
      <c r="IL5" s="6"/>
      <c r="IM5" s="6"/>
      <c r="IN5" s="6"/>
      <c r="IO5" s="6">
        <v>2089000000</v>
      </c>
      <c r="IP5" s="6"/>
      <c r="IQ5" s="6"/>
      <c r="IR5" s="6"/>
      <c r="IS5" s="6">
        <v>76.8</v>
      </c>
      <c r="IT5" s="6"/>
      <c r="IU5" s="6"/>
      <c r="IV5" s="7" t="s">
        <v>23</v>
      </c>
      <c r="IW5" s="7" t="s">
        <v>97</v>
      </c>
      <c r="IX5" s="6"/>
      <c r="IY5" s="7" t="s">
        <v>102</v>
      </c>
      <c r="JA5" s="1">
        <v>41639</v>
      </c>
      <c r="JB5" s="6"/>
      <c r="JC5" s="6"/>
      <c r="JD5" s="6">
        <v>1817000000</v>
      </c>
      <c r="JE5" s="6"/>
      <c r="JF5" s="6"/>
      <c r="JG5" s="6"/>
      <c r="JH5" s="6"/>
      <c r="JI5" s="6">
        <v>1707000000</v>
      </c>
      <c r="JJ5" s="6"/>
      <c r="JK5" s="6"/>
      <c r="JL5" s="6"/>
      <c r="JM5" s="6">
        <v>115.25</v>
      </c>
      <c r="JN5" s="6"/>
      <c r="JO5" s="6"/>
      <c r="JP5" s="7" t="s">
        <v>23</v>
      </c>
      <c r="JQ5" s="7" t="s">
        <v>97</v>
      </c>
      <c r="JR5" s="6"/>
      <c r="JS5" s="7" t="s">
        <v>106</v>
      </c>
    </row>
    <row r="6" spans="1:279" x14ac:dyDescent="0.35">
      <c r="A6" s="9">
        <v>42004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 t="s">
        <v>23</v>
      </c>
      <c r="Q6" s="7" t="s">
        <v>103</v>
      </c>
      <c r="R6" s="6"/>
      <c r="S6" s="7" t="s">
        <v>104</v>
      </c>
      <c r="U6" s="9">
        <v>42004</v>
      </c>
      <c r="V6" s="6"/>
      <c r="W6" s="6">
        <v>7006839260.4899998</v>
      </c>
      <c r="X6" s="6">
        <v>792656000</v>
      </c>
      <c r="Y6" s="6">
        <v>1194328000</v>
      </c>
      <c r="Z6" s="6"/>
      <c r="AA6" s="6"/>
      <c r="AB6" s="6"/>
      <c r="AC6" s="6">
        <v>833007000</v>
      </c>
      <c r="AD6" s="6"/>
      <c r="AE6" s="6"/>
      <c r="AF6" s="6"/>
      <c r="AG6" s="6">
        <v>35.729999999999997</v>
      </c>
      <c r="AH6" s="6"/>
      <c r="AI6" s="6">
        <v>7006839260.4899998</v>
      </c>
      <c r="AJ6" s="7" t="s">
        <v>23</v>
      </c>
      <c r="AK6" s="7" t="s">
        <v>93</v>
      </c>
      <c r="AL6" s="6"/>
      <c r="AM6" s="7" t="s">
        <v>94</v>
      </c>
      <c r="AO6" s="1">
        <v>42004</v>
      </c>
      <c r="AP6" s="6"/>
      <c r="AQ6" s="6">
        <v>4744986250.3999996</v>
      </c>
      <c r="AR6" s="6"/>
      <c r="AS6" s="6"/>
      <c r="AT6" s="6"/>
      <c r="AU6" s="6"/>
      <c r="AV6" s="6"/>
      <c r="AW6" s="6"/>
      <c r="AX6" s="6"/>
      <c r="AY6" s="6"/>
      <c r="AZ6" s="6"/>
      <c r="BA6" s="6">
        <v>605</v>
      </c>
      <c r="BB6" s="6"/>
      <c r="BC6" s="6">
        <v>4744986250.3999996</v>
      </c>
      <c r="BD6" s="7" t="s">
        <v>26</v>
      </c>
      <c r="BE6" s="7" t="s">
        <v>89</v>
      </c>
      <c r="BF6" s="6"/>
      <c r="BG6" s="7" t="s">
        <v>99</v>
      </c>
      <c r="BI6" s="1">
        <v>42004</v>
      </c>
      <c r="BJ6" s="6"/>
      <c r="BK6" s="6">
        <v>4398239090.3400002</v>
      </c>
      <c r="BL6" s="6"/>
      <c r="BM6" s="6"/>
      <c r="BN6" s="6"/>
      <c r="BO6" s="6"/>
      <c r="BP6" s="6"/>
      <c r="BQ6" s="6"/>
      <c r="BR6" s="6"/>
      <c r="BS6" s="6"/>
      <c r="BT6" s="6"/>
      <c r="BU6" s="6">
        <v>334</v>
      </c>
      <c r="BV6" s="6"/>
      <c r="BW6" s="6">
        <v>4398239090.3400002</v>
      </c>
      <c r="BX6" s="7" t="s">
        <v>26</v>
      </c>
      <c r="BY6" s="7" t="s">
        <v>89</v>
      </c>
      <c r="BZ6" s="6"/>
      <c r="CA6" s="7" t="s">
        <v>90</v>
      </c>
      <c r="CC6" s="1">
        <v>42004</v>
      </c>
      <c r="CD6" s="6"/>
      <c r="CE6" s="6">
        <v>1531454296.5</v>
      </c>
      <c r="CF6" s="6">
        <v>166336000</v>
      </c>
      <c r="CG6" s="6">
        <v>176417000</v>
      </c>
      <c r="CH6" s="6"/>
      <c r="CI6" s="6"/>
      <c r="CJ6" s="6"/>
      <c r="CK6" s="6">
        <v>230549000</v>
      </c>
      <c r="CL6" s="6"/>
      <c r="CM6" s="6"/>
      <c r="CN6" s="6"/>
      <c r="CO6" s="6">
        <v>15.5</v>
      </c>
      <c r="CP6" s="6"/>
      <c r="CQ6" s="6">
        <v>1531454296.5</v>
      </c>
      <c r="CR6" s="7" t="s">
        <v>23</v>
      </c>
      <c r="CS6" s="7" t="s">
        <v>95</v>
      </c>
      <c r="CT6" s="6"/>
      <c r="CU6" s="7" t="s">
        <v>96</v>
      </c>
      <c r="CW6" s="1">
        <v>42004</v>
      </c>
      <c r="CX6" s="6"/>
      <c r="CY6" s="6">
        <v>21002019046.799999</v>
      </c>
      <c r="CZ6" s="6">
        <v>1795000000</v>
      </c>
      <c r="DA6" s="6"/>
      <c r="DB6" s="6"/>
      <c r="DC6" s="6"/>
      <c r="DD6" s="6"/>
      <c r="DE6" s="6">
        <v>3318000000</v>
      </c>
      <c r="DF6" s="6"/>
      <c r="DG6" s="6"/>
      <c r="DH6" s="6"/>
      <c r="DI6" s="6">
        <v>122.1</v>
      </c>
      <c r="DJ6" s="6"/>
      <c r="DK6" s="6">
        <v>21002019046.799999</v>
      </c>
      <c r="DL6" s="7" t="s">
        <v>26</v>
      </c>
      <c r="DM6" s="7" t="s">
        <v>97</v>
      </c>
      <c r="DN6" s="6"/>
      <c r="DO6" s="7" t="s">
        <v>98</v>
      </c>
      <c r="DQ6" s="1">
        <v>42004</v>
      </c>
      <c r="DR6" s="6"/>
      <c r="DS6" s="6">
        <v>2172142082.6599998</v>
      </c>
      <c r="DT6" s="6"/>
      <c r="DU6" s="6"/>
      <c r="DV6" s="6"/>
      <c r="DW6" s="6"/>
      <c r="DX6" s="6"/>
      <c r="DY6" s="6"/>
      <c r="DZ6" s="6"/>
      <c r="EA6" s="6"/>
      <c r="EB6" s="6"/>
      <c r="EC6" s="6">
        <v>781</v>
      </c>
      <c r="ED6" s="6"/>
      <c r="EE6" s="6">
        <v>2172142082.6599998</v>
      </c>
      <c r="EF6" s="7" t="s">
        <v>23</v>
      </c>
      <c r="EG6" s="7" t="s">
        <v>89</v>
      </c>
      <c r="EH6" s="6"/>
      <c r="EI6" s="7" t="s">
        <v>91</v>
      </c>
      <c r="EK6" s="1">
        <v>42004</v>
      </c>
      <c r="EL6" s="6"/>
      <c r="EM6" s="6">
        <v>7836046833.7200003</v>
      </c>
      <c r="EN6" s="6"/>
      <c r="EO6" s="6"/>
      <c r="EP6" s="6"/>
      <c r="EQ6" s="6"/>
      <c r="ER6" s="6"/>
      <c r="ES6" s="6"/>
      <c r="ET6" s="6"/>
      <c r="EU6" s="6"/>
      <c r="EV6" s="6"/>
      <c r="EW6" s="6">
        <v>777</v>
      </c>
      <c r="EX6" s="6"/>
      <c r="EY6" s="6">
        <v>7836046833.7199993</v>
      </c>
      <c r="EZ6" s="7" t="s">
        <v>23</v>
      </c>
      <c r="FA6" s="7" t="s">
        <v>89</v>
      </c>
      <c r="FB6" s="6"/>
      <c r="FC6" s="7" t="s">
        <v>92</v>
      </c>
      <c r="FE6" s="1">
        <v>42004</v>
      </c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>
        <v>295</v>
      </c>
      <c r="FR6" s="6"/>
      <c r="FS6" s="6">
        <v>294312275.35000002</v>
      </c>
      <c r="FT6" s="7" t="s">
        <v>23</v>
      </c>
      <c r="FU6" s="7" t="s">
        <v>89</v>
      </c>
      <c r="FV6" s="6"/>
      <c r="FW6" s="7" t="s">
        <v>100</v>
      </c>
      <c r="FY6" s="1">
        <v>42004</v>
      </c>
      <c r="FZ6" s="6"/>
      <c r="GA6" s="6">
        <v>6346377913.5</v>
      </c>
      <c r="GB6" s="6"/>
      <c r="GC6" s="6"/>
      <c r="GD6" s="6"/>
      <c r="GE6" s="6"/>
      <c r="GF6" s="6"/>
      <c r="GG6" s="6"/>
      <c r="GH6" s="6"/>
      <c r="GI6" s="6"/>
      <c r="GJ6" s="6"/>
      <c r="GK6" s="6">
        <v>103.5</v>
      </c>
      <c r="GL6" s="6"/>
      <c r="GM6" s="6">
        <v>6346377913.5</v>
      </c>
      <c r="GN6" s="7" t="s">
        <v>23</v>
      </c>
      <c r="GO6" s="7" t="s">
        <v>93</v>
      </c>
      <c r="GP6" s="6"/>
      <c r="GQ6" s="7" t="s">
        <v>101</v>
      </c>
      <c r="GS6" s="1">
        <v>42004</v>
      </c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7" t="s">
        <v>26</v>
      </c>
      <c r="HI6" s="7" t="s">
        <v>103</v>
      </c>
      <c r="HJ6" s="6"/>
      <c r="HK6" s="8"/>
      <c r="HM6" s="1">
        <v>42004</v>
      </c>
      <c r="HN6" s="6"/>
      <c r="HO6" s="6">
        <v>715777889.60000002</v>
      </c>
      <c r="HP6" s="6">
        <v>70893000</v>
      </c>
      <c r="HQ6" s="6"/>
      <c r="HR6" s="6"/>
      <c r="HS6" s="6"/>
      <c r="HT6" s="6"/>
      <c r="HU6" s="6">
        <v>96284000</v>
      </c>
      <c r="HV6" s="6"/>
      <c r="HW6" s="6"/>
      <c r="HX6" s="6"/>
      <c r="HY6" s="6"/>
      <c r="HZ6" s="6"/>
      <c r="IA6" s="6"/>
      <c r="IB6" s="7" t="s">
        <v>26</v>
      </c>
      <c r="IC6" s="7" t="s">
        <v>103</v>
      </c>
      <c r="ID6" s="6"/>
      <c r="IE6" s="7" t="s">
        <v>105</v>
      </c>
      <c r="IG6" s="1">
        <v>42004</v>
      </c>
      <c r="IH6" s="6"/>
      <c r="II6" s="6">
        <v>16638392143.199999</v>
      </c>
      <c r="IJ6" s="6">
        <v>2754000000</v>
      </c>
      <c r="IK6" s="6">
        <v>2755000000</v>
      </c>
      <c r="IL6" s="6"/>
      <c r="IM6" s="6"/>
      <c r="IN6" s="6"/>
      <c r="IO6" s="6">
        <v>2110000000</v>
      </c>
      <c r="IP6" s="6"/>
      <c r="IQ6" s="6"/>
      <c r="IR6" s="6"/>
      <c r="IS6" s="6">
        <v>100.6</v>
      </c>
      <c r="IT6" s="6"/>
      <c r="IU6" s="6">
        <v>16638392143.199999</v>
      </c>
      <c r="IV6" s="7" t="s">
        <v>26</v>
      </c>
      <c r="IW6" s="7" t="s">
        <v>97</v>
      </c>
      <c r="IX6" s="6"/>
      <c r="IY6" s="7" t="s">
        <v>102</v>
      </c>
      <c r="JA6" s="1">
        <v>42004</v>
      </c>
      <c r="JB6" s="6"/>
      <c r="JC6" s="6"/>
      <c r="JD6" s="6">
        <v>969000000</v>
      </c>
      <c r="JE6" s="6"/>
      <c r="JF6" s="6"/>
      <c r="JG6" s="6"/>
      <c r="JH6" s="6"/>
      <c r="JI6" s="6">
        <v>1905000000</v>
      </c>
      <c r="JJ6" s="6"/>
      <c r="JK6" s="6"/>
      <c r="JL6" s="6"/>
      <c r="JM6" s="6">
        <v>142.75</v>
      </c>
      <c r="JN6" s="6"/>
      <c r="JO6" s="6"/>
      <c r="JP6" s="7" t="s">
        <v>26</v>
      </c>
      <c r="JQ6" s="7" t="s">
        <v>97</v>
      </c>
      <c r="JR6" s="6"/>
      <c r="JS6" s="7" t="s">
        <v>106</v>
      </c>
    </row>
    <row r="7" spans="1:279" x14ac:dyDescent="0.35">
      <c r="A7" s="9">
        <v>42369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 t="s">
        <v>23</v>
      </c>
      <c r="Q7" s="7" t="s">
        <v>103</v>
      </c>
      <c r="R7" s="6"/>
      <c r="S7" s="7" t="s">
        <v>104</v>
      </c>
      <c r="U7" s="9">
        <v>42369</v>
      </c>
      <c r="V7" s="6"/>
      <c r="W7" s="6">
        <v>12766644154.700001</v>
      </c>
      <c r="X7" s="6">
        <v>950000000</v>
      </c>
      <c r="Y7" s="6">
        <v>1408500000</v>
      </c>
      <c r="Z7" s="6"/>
      <c r="AA7" s="6"/>
      <c r="AB7" s="6"/>
      <c r="AC7" s="6">
        <v>1208400000</v>
      </c>
      <c r="AD7" s="6"/>
      <c r="AE7" s="6"/>
      <c r="AF7" s="6"/>
      <c r="AG7" s="6">
        <v>40.99</v>
      </c>
      <c r="AH7" s="6"/>
      <c r="AI7" s="6">
        <v>12766644154.700001</v>
      </c>
      <c r="AJ7" s="7" t="s">
        <v>23</v>
      </c>
      <c r="AK7" s="7" t="s">
        <v>93</v>
      </c>
      <c r="AL7" s="6"/>
      <c r="AM7" s="7" t="s">
        <v>94</v>
      </c>
      <c r="AO7" s="1">
        <v>42369</v>
      </c>
      <c r="AP7" s="6"/>
      <c r="AQ7" s="6">
        <v>4706587530</v>
      </c>
      <c r="AR7" s="6"/>
      <c r="AS7" s="6"/>
      <c r="AT7" s="6"/>
      <c r="AU7" s="6"/>
      <c r="AV7" s="6"/>
      <c r="AW7" s="6"/>
      <c r="AX7" s="6"/>
      <c r="AY7" s="6"/>
      <c r="AZ7" s="6"/>
      <c r="BA7" s="6">
        <v>600</v>
      </c>
      <c r="BB7" s="6"/>
      <c r="BC7" s="6">
        <v>4706587530</v>
      </c>
      <c r="BD7" s="7" t="s">
        <v>26</v>
      </c>
      <c r="BE7" s="7" t="s">
        <v>89</v>
      </c>
      <c r="BF7" s="6"/>
      <c r="BG7" s="7" t="s">
        <v>99</v>
      </c>
      <c r="BI7" s="1">
        <v>42369</v>
      </c>
      <c r="BJ7" s="6"/>
      <c r="BK7" s="6">
        <v>4249341255.573</v>
      </c>
      <c r="BL7" s="6"/>
      <c r="BM7" s="6"/>
      <c r="BN7" s="6"/>
      <c r="BO7" s="6"/>
      <c r="BP7" s="6"/>
      <c r="BQ7" s="6"/>
      <c r="BR7" s="6"/>
      <c r="BS7" s="6"/>
      <c r="BT7" s="6"/>
      <c r="BU7" s="6">
        <v>317.3</v>
      </c>
      <c r="BV7" s="6"/>
      <c r="BW7" s="6">
        <v>4249341255.573</v>
      </c>
      <c r="BX7" s="7" t="s">
        <v>26</v>
      </c>
      <c r="BY7" s="7" t="s">
        <v>89</v>
      </c>
      <c r="BZ7" s="6"/>
      <c r="CA7" s="7" t="s">
        <v>90</v>
      </c>
      <c r="CC7" s="1">
        <v>42369</v>
      </c>
      <c r="CD7" s="6"/>
      <c r="CE7" s="6">
        <v>1662862955.4899998</v>
      </c>
      <c r="CF7" s="6">
        <v>377124000</v>
      </c>
      <c r="CG7" s="6"/>
      <c r="CH7" s="6"/>
      <c r="CI7" s="6"/>
      <c r="CJ7" s="6"/>
      <c r="CK7" s="6">
        <v>242962000</v>
      </c>
      <c r="CL7" s="6"/>
      <c r="CM7" s="6"/>
      <c r="CN7" s="6"/>
      <c r="CO7" s="6">
        <v>16.829999999999998</v>
      </c>
      <c r="CP7" s="6"/>
      <c r="CQ7" s="6">
        <v>1662862955.4899998</v>
      </c>
      <c r="CR7" s="7" t="s">
        <v>23</v>
      </c>
      <c r="CS7" s="7" t="s">
        <v>95</v>
      </c>
      <c r="CT7" s="6"/>
      <c r="CU7" s="7" t="s">
        <v>96</v>
      </c>
      <c r="CW7" s="1">
        <v>42369</v>
      </c>
      <c r="CX7" s="6"/>
      <c r="CY7" s="6">
        <v>20761209655.600002</v>
      </c>
      <c r="CZ7" s="6">
        <v>4190000000</v>
      </c>
      <c r="DA7" s="6">
        <v>4202000000</v>
      </c>
      <c r="DB7" s="6"/>
      <c r="DC7" s="6"/>
      <c r="DD7" s="6"/>
      <c r="DE7" s="6">
        <v>3299000000</v>
      </c>
      <c r="DF7" s="6"/>
      <c r="DG7" s="6"/>
      <c r="DH7" s="6"/>
      <c r="DI7" s="6">
        <v>120.7</v>
      </c>
      <c r="DJ7" s="6"/>
      <c r="DK7" s="6">
        <v>20761209655.600002</v>
      </c>
      <c r="DL7" s="7" t="s">
        <v>26</v>
      </c>
      <c r="DM7" s="7" t="s">
        <v>97</v>
      </c>
      <c r="DN7" s="6"/>
      <c r="DO7" s="7" t="s">
        <v>98</v>
      </c>
      <c r="DQ7" s="1">
        <v>42369</v>
      </c>
      <c r="DR7" s="6"/>
      <c r="DS7" s="6">
        <v>2543923013.3899999</v>
      </c>
      <c r="DT7" s="6"/>
      <c r="DU7" s="6"/>
      <c r="DV7" s="6"/>
      <c r="DW7" s="6"/>
      <c r="DX7" s="6"/>
      <c r="DY7" s="6"/>
      <c r="DZ7" s="6"/>
      <c r="EA7" s="6"/>
      <c r="EB7" s="6"/>
      <c r="EC7" s="6">
        <v>914.5</v>
      </c>
      <c r="ED7" s="6"/>
      <c r="EE7" s="6">
        <v>2543923013.3899999</v>
      </c>
      <c r="EF7" s="7" t="s">
        <v>26</v>
      </c>
      <c r="EG7" s="7" t="s">
        <v>89</v>
      </c>
      <c r="EH7" s="6"/>
      <c r="EI7" s="7" t="s">
        <v>91</v>
      </c>
      <c r="EK7" s="1">
        <v>42369</v>
      </c>
      <c r="EL7" s="6"/>
      <c r="EM7" s="6">
        <v>8021303242.2600002</v>
      </c>
      <c r="EN7" s="6"/>
      <c r="EO7" s="6"/>
      <c r="EP7" s="6"/>
      <c r="EQ7" s="6"/>
      <c r="ER7" s="6"/>
      <c r="ES7" s="6"/>
      <c r="ET7" s="6"/>
      <c r="EU7" s="6"/>
      <c r="EV7" s="6"/>
      <c r="EW7" s="6">
        <v>786</v>
      </c>
      <c r="EX7" s="6"/>
      <c r="EY7" s="6">
        <v>8021303242.2600002</v>
      </c>
      <c r="EZ7" s="7" t="s">
        <v>23</v>
      </c>
      <c r="FA7" s="7" t="s">
        <v>89</v>
      </c>
      <c r="FB7" s="6"/>
      <c r="FC7" s="7" t="s">
        <v>92</v>
      </c>
      <c r="FE7" s="1">
        <v>42369</v>
      </c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>
        <v>344.5</v>
      </c>
      <c r="FR7" s="6"/>
      <c r="FS7" s="6">
        <v>644537321.08999991</v>
      </c>
      <c r="FT7" s="7" t="s">
        <v>26</v>
      </c>
      <c r="FU7" s="7" t="s">
        <v>89</v>
      </c>
      <c r="FV7" s="6"/>
      <c r="FW7" s="7" t="s">
        <v>100</v>
      </c>
      <c r="FY7" s="1">
        <v>42369</v>
      </c>
      <c r="FZ7" s="6"/>
      <c r="GA7" s="6">
        <v>7021952183.2999992</v>
      </c>
      <c r="GB7" s="6"/>
      <c r="GC7" s="6"/>
      <c r="GD7" s="6"/>
      <c r="GE7" s="6"/>
      <c r="GF7" s="6"/>
      <c r="GG7" s="6"/>
      <c r="GH7" s="6"/>
      <c r="GI7" s="6"/>
      <c r="GJ7" s="6"/>
      <c r="GK7" s="6">
        <v>112.1</v>
      </c>
      <c r="GL7" s="6"/>
      <c r="GM7" s="6">
        <v>7021952183.2999992</v>
      </c>
      <c r="GN7" s="7" t="s">
        <v>26</v>
      </c>
      <c r="GO7" s="7" t="s">
        <v>93</v>
      </c>
      <c r="GP7" s="6"/>
      <c r="GQ7" s="7" t="s">
        <v>101</v>
      </c>
      <c r="GS7" s="1">
        <v>42369</v>
      </c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7" t="s">
        <v>26</v>
      </c>
      <c r="HI7" s="7" t="s">
        <v>103</v>
      </c>
      <c r="HJ7" s="6"/>
      <c r="HK7" s="8"/>
      <c r="HM7" s="1">
        <v>42369</v>
      </c>
      <c r="HN7" s="6"/>
      <c r="HO7" s="6">
        <v>813721433.26999998</v>
      </c>
      <c r="HP7" s="6">
        <v>76425000</v>
      </c>
      <c r="HQ7" s="6">
        <v>76425000</v>
      </c>
      <c r="HR7" s="6"/>
      <c r="HS7" s="6"/>
      <c r="HT7" s="6"/>
      <c r="HU7" s="6">
        <v>93174000</v>
      </c>
      <c r="HV7" s="6"/>
      <c r="HW7" s="6"/>
      <c r="HX7" s="6"/>
      <c r="HY7" s="6"/>
      <c r="HZ7" s="6"/>
      <c r="IA7" s="6"/>
      <c r="IB7" s="7" t="s">
        <v>26</v>
      </c>
      <c r="IC7" s="7" t="s">
        <v>103</v>
      </c>
      <c r="ID7" s="6"/>
      <c r="IE7" s="7" t="s">
        <v>105</v>
      </c>
      <c r="IG7" s="1">
        <v>42369</v>
      </c>
      <c r="IH7" s="6"/>
      <c r="II7" s="6">
        <v>23171359237.200001</v>
      </c>
      <c r="IJ7" s="6">
        <v>4846000000</v>
      </c>
      <c r="IK7" s="6">
        <v>4846000000</v>
      </c>
      <c r="IL7" s="6"/>
      <c r="IM7" s="6"/>
      <c r="IN7" s="6"/>
      <c r="IO7" s="6">
        <v>1998000000</v>
      </c>
      <c r="IP7" s="6"/>
      <c r="IQ7" s="6"/>
      <c r="IR7" s="6"/>
      <c r="IS7" s="6">
        <v>140.1</v>
      </c>
      <c r="IT7" s="6"/>
      <c r="IU7" s="6">
        <v>23171359237.200001</v>
      </c>
      <c r="IV7" s="7" t="s">
        <v>26</v>
      </c>
      <c r="IW7" s="7" t="s">
        <v>97</v>
      </c>
      <c r="IX7" s="6"/>
      <c r="IY7" s="7" t="s">
        <v>102</v>
      </c>
      <c r="JA7" s="1">
        <v>42369</v>
      </c>
      <c r="JB7" s="6"/>
      <c r="JC7" s="6"/>
      <c r="JD7" s="6">
        <v>2859000000</v>
      </c>
      <c r="JE7" s="6">
        <v>2860000000</v>
      </c>
      <c r="JF7" s="6"/>
      <c r="JG7" s="6"/>
      <c r="JH7" s="6"/>
      <c r="JI7" s="6">
        <v>1961000000</v>
      </c>
      <c r="JJ7" s="6"/>
      <c r="JK7" s="6"/>
      <c r="JL7" s="6"/>
      <c r="JM7" s="6">
        <v>171</v>
      </c>
      <c r="JN7" s="6"/>
      <c r="JO7" s="6"/>
      <c r="JP7" s="7" t="s">
        <v>26</v>
      </c>
      <c r="JQ7" s="7" t="s">
        <v>97</v>
      </c>
      <c r="JR7" s="6"/>
      <c r="JS7" s="7" t="s">
        <v>106</v>
      </c>
    </row>
    <row r="8" spans="1:279" x14ac:dyDescent="0.35">
      <c r="A8" s="9">
        <v>42735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 t="s">
        <v>23</v>
      </c>
      <c r="Q8" s="7" t="s">
        <v>103</v>
      </c>
      <c r="R8" s="6"/>
      <c r="S8" s="7" t="s">
        <v>104</v>
      </c>
      <c r="U8" s="9">
        <v>42735</v>
      </c>
      <c r="V8" s="6"/>
      <c r="W8" s="6">
        <v>11642277944.605</v>
      </c>
      <c r="X8" s="6">
        <v>1900200000</v>
      </c>
      <c r="Y8" s="6">
        <v>1920300000</v>
      </c>
      <c r="Z8" s="6"/>
      <c r="AA8" s="6"/>
      <c r="AB8" s="6"/>
      <c r="AC8" s="6">
        <v>1214000000</v>
      </c>
      <c r="AD8" s="6"/>
      <c r="AE8" s="6"/>
      <c r="AF8" s="6"/>
      <c r="AG8" s="6">
        <v>37.344999999999999</v>
      </c>
      <c r="AH8" s="6"/>
      <c r="AI8" s="6">
        <v>11645202132.795</v>
      </c>
      <c r="AJ8" s="7" t="s">
        <v>26</v>
      </c>
      <c r="AK8" s="7" t="s">
        <v>93</v>
      </c>
      <c r="AL8" s="6"/>
      <c r="AM8" s="7" t="s">
        <v>94</v>
      </c>
      <c r="AO8" s="1">
        <v>42735</v>
      </c>
      <c r="AP8" s="6"/>
      <c r="AQ8" s="6">
        <v>4544969824.2299995</v>
      </c>
      <c r="AR8" s="6"/>
      <c r="AS8" s="6"/>
      <c r="AT8" s="6"/>
      <c r="AU8" s="6"/>
      <c r="AV8" s="6"/>
      <c r="AW8" s="6"/>
      <c r="AX8" s="6"/>
      <c r="AY8" s="6"/>
      <c r="AZ8" s="6"/>
      <c r="BA8" s="6">
        <v>573</v>
      </c>
      <c r="BB8" s="6"/>
      <c r="BC8" s="6">
        <v>4544969824.2300005</v>
      </c>
      <c r="BD8" s="7" t="s">
        <v>26</v>
      </c>
      <c r="BE8" s="7" t="s">
        <v>89</v>
      </c>
      <c r="BF8" s="6"/>
      <c r="BG8" s="7" t="s">
        <v>99</v>
      </c>
      <c r="BI8" s="1">
        <v>42735</v>
      </c>
      <c r="BJ8" s="6"/>
      <c r="BK8" s="6">
        <v>3767222487.2129998</v>
      </c>
      <c r="BL8" s="6"/>
      <c r="BM8" s="6"/>
      <c r="BN8" s="6"/>
      <c r="BO8" s="6"/>
      <c r="BP8" s="6"/>
      <c r="BQ8" s="6"/>
      <c r="BR8" s="6"/>
      <c r="BS8" s="6"/>
      <c r="BT8" s="6"/>
      <c r="BU8" s="6">
        <v>281.3</v>
      </c>
      <c r="BV8" s="6"/>
      <c r="BW8" s="6">
        <v>3767222487.2130003</v>
      </c>
      <c r="BX8" s="7" t="s">
        <v>26</v>
      </c>
      <c r="BY8" s="7" t="s">
        <v>89</v>
      </c>
      <c r="BZ8" s="6"/>
      <c r="CA8" s="7" t="s">
        <v>90</v>
      </c>
      <c r="CC8" s="1">
        <v>42735</v>
      </c>
      <c r="CD8" s="6"/>
      <c r="CE8" s="6">
        <v>1638362588.24</v>
      </c>
      <c r="CF8" s="6">
        <v>280109000</v>
      </c>
      <c r="CG8" s="6"/>
      <c r="CH8" s="6"/>
      <c r="CI8" s="6"/>
      <c r="CJ8" s="6"/>
      <c r="CK8" s="6">
        <v>264580000</v>
      </c>
      <c r="CL8" s="6"/>
      <c r="CM8" s="6"/>
      <c r="CN8" s="6"/>
      <c r="CO8" s="6">
        <v>17.465</v>
      </c>
      <c r="CP8" s="6"/>
      <c r="CQ8" s="6">
        <v>1638362588.24</v>
      </c>
      <c r="CR8" s="7" t="s">
        <v>23</v>
      </c>
      <c r="CS8" s="7" t="s">
        <v>95</v>
      </c>
      <c r="CT8" s="6"/>
      <c r="CU8" s="7" t="s">
        <v>96</v>
      </c>
      <c r="CW8" s="1">
        <v>42735</v>
      </c>
      <c r="CX8" s="6"/>
      <c r="CY8" s="6">
        <v>34122825633.400002</v>
      </c>
      <c r="CZ8" s="6">
        <v>5722000000</v>
      </c>
      <c r="DA8" s="6">
        <v>5736000000</v>
      </c>
      <c r="DB8" s="6"/>
      <c r="DC8" s="6"/>
      <c r="DD8" s="6"/>
      <c r="DE8" s="6">
        <v>4533000000</v>
      </c>
      <c r="DF8" s="6"/>
      <c r="DG8" s="6"/>
      <c r="DH8" s="6"/>
      <c r="DI8" s="6">
        <v>124.9</v>
      </c>
      <c r="DJ8" s="6"/>
      <c r="DK8" s="6">
        <v>34122825633.400002</v>
      </c>
      <c r="DL8" s="7" t="s">
        <v>26</v>
      </c>
      <c r="DM8" s="7" t="s">
        <v>97</v>
      </c>
      <c r="DN8" s="6"/>
      <c r="DO8" s="7" t="s">
        <v>98</v>
      </c>
      <c r="DQ8" s="1">
        <v>42735</v>
      </c>
      <c r="DR8" s="6"/>
      <c r="DS8" s="6">
        <v>2536165285.3800001</v>
      </c>
      <c r="DT8" s="6"/>
      <c r="DU8" s="6"/>
      <c r="DV8" s="6"/>
      <c r="DW8" s="6"/>
      <c r="DX8" s="6"/>
      <c r="DY8" s="6"/>
      <c r="DZ8" s="6"/>
      <c r="EA8" s="6"/>
      <c r="EB8" s="6"/>
      <c r="EC8" s="6">
        <v>909</v>
      </c>
      <c r="ED8" s="6"/>
      <c r="EE8" s="6">
        <v>2536165285.3800001</v>
      </c>
      <c r="EF8" s="7" t="s">
        <v>26</v>
      </c>
      <c r="EG8" s="7" t="s">
        <v>89</v>
      </c>
      <c r="EH8" s="6"/>
      <c r="EI8" s="7" t="s">
        <v>91</v>
      </c>
      <c r="EK8" s="1">
        <v>42735</v>
      </c>
      <c r="EL8" s="6"/>
      <c r="EM8" s="6">
        <v>6479414864.0450001</v>
      </c>
      <c r="EN8" s="6"/>
      <c r="EO8" s="6"/>
      <c r="EP8" s="6"/>
      <c r="EQ8" s="6"/>
      <c r="ER8" s="6"/>
      <c r="ES8" s="6"/>
      <c r="ET8" s="6"/>
      <c r="EU8" s="6"/>
      <c r="EV8" s="6"/>
      <c r="EW8" s="6">
        <v>629.5</v>
      </c>
      <c r="EX8" s="6"/>
      <c r="EY8" s="6">
        <v>6479414864.0450001</v>
      </c>
      <c r="EZ8" s="7" t="s">
        <v>23</v>
      </c>
      <c r="FA8" s="7" t="s">
        <v>89</v>
      </c>
      <c r="FB8" s="6"/>
      <c r="FC8" s="7" t="s">
        <v>92</v>
      </c>
      <c r="FE8" s="1">
        <v>42735</v>
      </c>
      <c r="FF8" s="6"/>
      <c r="FG8" s="6">
        <v>796280779.25</v>
      </c>
      <c r="FH8" s="6"/>
      <c r="FI8" s="6"/>
      <c r="FJ8" s="6"/>
      <c r="FK8" s="6"/>
      <c r="FL8" s="6"/>
      <c r="FM8" s="6"/>
      <c r="FN8" s="6"/>
      <c r="FO8" s="6"/>
      <c r="FP8" s="6"/>
      <c r="FQ8" s="6">
        <v>341</v>
      </c>
      <c r="FR8" s="6"/>
      <c r="FS8" s="6">
        <v>796280779.25</v>
      </c>
      <c r="FT8" s="7" t="s">
        <v>26</v>
      </c>
      <c r="FU8" s="7" t="s">
        <v>89</v>
      </c>
      <c r="FV8" s="6"/>
      <c r="FW8" s="7" t="s">
        <v>100</v>
      </c>
      <c r="FY8" s="1">
        <v>42735</v>
      </c>
      <c r="FZ8" s="6"/>
      <c r="GA8" s="6">
        <v>8336139805.9499989</v>
      </c>
      <c r="GB8" s="6"/>
      <c r="GC8" s="6"/>
      <c r="GD8" s="6"/>
      <c r="GE8" s="6"/>
      <c r="GF8" s="6"/>
      <c r="GG8" s="6"/>
      <c r="GH8" s="6"/>
      <c r="GI8" s="6"/>
      <c r="GJ8" s="6"/>
      <c r="GK8" s="6">
        <v>131.44999999999999</v>
      </c>
      <c r="GL8" s="6"/>
      <c r="GM8" s="6">
        <v>8289512519.1999989</v>
      </c>
      <c r="GN8" s="7" t="s">
        <v>26</v>
      </c>
      <c r="GO8" s="7" t="s">
        <v>93</v>
      </c>
      <c r="GP8" s="6"/>
      <c r="GQ8" s="7" t="s">
        <v>101</v>
      </c>
      <c r="GS8" s="1">
        <v>42735</v>
      </c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7" t="s">
        <v>26</v>
      </c>
      <c r="HI8" s="7" t="s">
        <v>103</v>
      </c>
      <c r="HJ8" s="6"/>
      <c r="HK8" s="8"/>
      <c r="HM8" s="1">
        <v>42735</v>
      </c>
      <c r="HN8" s="6"/>
      <c r="HO8" s="6">
        <v>701785954.79000008</v>
      </c>
      <c r="HP8" s="6">
        <v>50920000</v>
      </c>
      <c r="HQ8" s="6">
        <v>50920000</v>
      </c>
      <c r="HR8" s="6"/>
      <c r="HS8" s="6"/>
      <c r="HT8" s="6"/>
      <c r="HU8" s="6">
        <v>89470000</v>
      </c>
      <c r="HV8" s="6"/>
      <c r="HW8" s="6"/>
      <c r="HX8" s="6"/>
      <c r="HY8" s="6"/>
      <c r="HZ8" s="6"/>
      <c r="IA8" s="6"/>
      <c r="IB8" s="7" t="s">
        <v>26</v>
      </c>
      <c r="IC8" s="7" t="s">
        <v>103</v>
      </c>
      <c r="ID8" s="6"/>
      <c r="IE8" s="7" t="s">
        <v>105</v>
      </c>
      <c r="IG8" s="1">
        <v>42735</v>
      </c>
      <c r="IH8" s="6"/>
      <c r="II8" s="6">
        <v>24626805070.799999</v>
      </c>
      <c r="IJ8" s="6">
        <v>9548000000</v>
      </c>
      <c r="IK8" s="6"/>
      <c r="IL8" s="6"/>
      <c r="IM8" s="6"/>
      <c r="IN8" s="6"/>
      <c r="IO8" s="6">
        <v>2105000000</v>
      </c>
      <c r="IP8" s="6"/>
      <c r="IQ8" s="6"/>
      <c r="IR8" s="6"/>
      <c r="IS8" s="6">
        <v>148.9</v>
      </c>
      <c r="IT8" s="6"/>
      <c r="IU8" s="6">
        <v>24626805070.799999</v>
      </c>
      <c r="IV8" s="7" t="s">
        <v>26</v>
      </c>
      <c r="IW8" s="7" t="s">
        <v>97</v>
      </c>
      <c r="IX8" s="6"/>
      <c r="IY8" s="7" t="s">
        <v>102</v>
      </c>
      <c r="JA8" s="1">
        <v>42735</v>
      </c>
      <c r="JB8" s="6"/>
      <c r="JC8" s="6"/>
      <c r="JD8" s="6">
        <v>3973000000</v>
      </c>
      <c r="JE8" s="6">
        <v>3975000000</v>
      </c>
      <c r="JF8" s="6"/>
      <c r="JG8" s="6"/>
      <c r="JH8" s="6"/>
      <c r="JI8" s="6">
        <v>2030000000</v>
      </c>
      <c r="JJ8" s="6"/>
      <c r="JK8" s="6"/>
      <c r="JL8" s="6"/>
      <c r="JM8" s="6">
        <v>169.4</v>
      </c>
      <c r="JN8" s="6"/>
      <c r="JO8" s="6"/>
      <c r="JP8" s="7" t="s">
        <v>26</v>
      </c>
      <c r="JQ8" s="7" t="s">
        <v>97</v>
      </c>
      <c r="JR8" s="6"/>
      <c r="JS8" s="7" t="s">
        <v>106</v>
      </c>
    </row>
    <row r="9" spans="1:279" x14ac:dyDescent="0.35">
      <c r="A9" s="9">
        <v>43100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7" t="s">
        <v>23</v>
      </c>
      <c r="Q9" s="7" t="s">
        <v>103</v>
      </c>
      <c r="R9" s="6"/>
      <c r="S9" s="7" t="s">
        <v>104</v>
      </c>
      <c r="U9" s="9">
        <v>43100</v>
      </c>
      <c r="V9" s="6"/>
      <c r="W9" s="6">
        <v>11179681049.58</v>
      </c>
      <c r="X9" s="6">
        <v>1886800000</v>
      </c>
      <c r="Y9" s="6">
        <v>1902700000</v>
      </c>
      <c r="Z9" s="6"/>
      <c r="AA9" s="6"/>
      <c r="AB9" s="6"/>
      <c r="AC9" s="6">
        <v>1236000000</v>
      </c>
      <c r="AD9" s="6"/>
      <c r="AE9" s="6"/>
      <c r="AF9" s="6"/>
      <c r="AG9" s="6">
        <v>36.664999999999999</v>
      </c>
      <c r="AH9" s="6"/>
      <c r="AI9" s="6">
        <v>11167962438.934999</v>
      </c>
      <c r="AJ9" s="7" t="s">
        <v>26</v>
      </c>
      <c r="AK9" s="7" t="s">
        <v>93</v>
      </c>
      <c r="AL9" s="6"/>
      <c r="AM9" s="7" t="s">
        <v>94</v>
      </c>
      <c r="AO9" s="1">
        <v>43100</v>
      </c>
      <c r="AP9" s="6"/>
      <c r="AQ9" s="6">
        <v>4344418506.46</v>
      </c>
      <c r="AR9" s="6"/>
      <c r="AS9" s="6"/>
      <c r="AT9" s="6"/>
      <c r="AU9" s="6"/>
      <c r="AV9" s="6"/>
      <c r="AW9" s="6"/>
      <c r="AX9" s="6"/>
      <c r="AY9" s="6"/>
      <c r="AZ9" s="6"/>
      <c r="BA9" s="6">
        <v>547</v>
      </c>
      <c r="BB9" s="6"/>
      <c r="BC9" s="6">
        <v>4344418506.46</v>
      </c>
      <c r="BD9" s="7" t="s">
        <v>26</v>
      </c>
      <c r="BE9" s="7" t="s">
        <v>89</v>
      </c>
      <c r="BF9" s="6"/>
      <c r="BG9" s="7" t="s">
        <v>99</v>
      </c>
      <c r="BI9" s="1">
        <v>43100</v>
      </c>
      <c r="BJ9" s="6"/>
      <c r="BK9" s="6">
        <v>3388223566.5300002</v>
      </c>
      <c r="BL9" s="6"/>
      <c r="BM9" s="6"/>
      <c r="BN9" s="6"/>
      <c r="BO9" s="6"/>
      <c r="BP9" s="6"/>
      <c r="BQ9" s="6"/>
      <c r="BR9" s="6"/>
      <c r="BS9" s="6"/>
      <c r="BT9" s="6"/>
      <c r="BU9" s="6">
        <v>253</v>
      </c>
      <c r="BV9" s="6"/>
      <c r="BW9" s="6">
        <v>3388223566.5299997</v>
      </c>
      <c r="BX9" s="7" t="s">
        <v>26</v>
      </c>
      <c r="BY9" s="7" t="s">
        <v>89</v>
      </c>
      <c r="BZ9" s="6"/>
      <c r="CA9" s="7" t="s">
        <v>90</v>
      </c>
      <c r="CC9" s="1">
        <v>43100</v>
      </c>
      <c r="CD9" s="6"/>
      <c r="CE9" s="6">
        <v>2420724110.48</v>
      </c>
      <c r="CF9" s="6">
        <v>335816000</v>
      </c>
      <c r="CG9" s="6"/>
      <c r="CH9" s="6"/>
      <c r="CI9" s="6"/>
      <c r="CJ9" s="6"/>
      <c r="CK9" s="6">
        <v>291512000</v>
      </c>
      <c r="CL9" s="6"/>
      <c r="CM9" s="6"/>
      <c r="CN9" s="6"/>
      <c r="CO9" s="6">
        <v>25.805</v>
      </c>
      <c r="CP9" s="6"/>
      <c r="CQ9" s="6">
        <v>2420724110.48</v>
      </c>
      <c r="CR9" s="7" t="s">
        <v>26</v>
      </c>
      <c r="CS9" s="7" t="s">
        <v>95</v>
      </c>
      <c r="CT9" s="6"/>
      <c r="CU9" s="7" t="s">
        <v>96</v>
      </c>
      <c r="CW9" s="1">
        <v>43100</v>
      </c>
      <c r="CX9" s="6"/>
      <c r="CY9" s="6">
        <v>37811041374.400002</v>
      </c>
      <c r="CZ9" s="6">
        <v>7312000000</v>
      </c>
      <c r="DA9" s="6">
        <v>7326000000</v>
      </c>
      <c r="DB9" s="6"/>
      <c r="DC9" s="6"/>
      <c r="DD9" s="6"/>
      <c r="DE9" s="6">
        <v>5182000000</v>
      </c>
      <c r="DF9" s="6"/>
      <c r="DG9" s="6"/>
      <c r="DH9" s="6"/>
      <c r="DI9" s="6">
        <v>138.4</v>
      </c>
      <c r="DJ9" s="6"/>
      <c r="DK9" s="6">
        <v>37811041374.400002</v>
      </c>
      <c r="DL9" s="7" t="s">
        <v>26</v>
      </c>
      <c r="DM9" s="7" t="s">
        <v>97</v>
      </c>
      <c r="DN9" s="6"/>
      <c r="DO9" s="7" t="s">
        <v>98</v>
      </c>
      <c r="DQ9" s="1">
        <v>43100</v>
      </c>
      <c r="DR9" s="6"/>
      <c r="DS9" s="6">
        <v>3208110345.7199998</v>
      </c>
      <c r="DT9" s="6"/>
      <c r="DU9" s="6"/>
      <c r="DV9" s="6"/>
      <c r="DW9" s="6"/>
      <c r="DX9" s="6"/>
      <c r="DY9" s="6"/>
      <c r="DZ9" s="6"/>
      <c r="EA9" s="6"/>
      <c r="EB9" s="6"/>
      <c r="EC9" s="6">
        <v>1044</v>
      </c>
      <c r="ED9" s="6"/>
      <c r="EE9" s="6">
        <v>3208110345.7199998</v>
      </c>
      <c r="EF9" s="7" t="s">
        <v>26</v>
      </c>
      <c r="EG9" s="7" t="s">
        <v>89</v>
      </c>
      <c r="EH9" s="6"/>
      <c r="EI9" s="7" t="s">
        <v>91</v>
      </c>
      <c r="EK9" s="1">
        <v>43100</v>
      </c>
      <c r="EL9" s="6"/>
      <c r="EM9" s="6">
        <v>7120851341.8950005</v>
      </c>
      <c r="EN9" s="6"/>
      <c r="EO9" s="6"/>
      <c r="EP9" s="6"/>
      <c r="EQ9" s="6"/>
      <c r="ER9" s="6"/>
      <c r="ES9" s="6"/>
      <c r="ET9" s="6"/>
      <c r="EU9" s="6"/>
      <c r="EV9" s="6"/>
      <c r="EW9" s="6">
        <v>691.5</v>
      </c>
      <c r="EX9" s="6"/>
      <c r="EY9" s="6">
        <v>7120851341.8949995</v>
      </c>
      <c r="EZ9" s="7" t="s">
        <v>26</v>
      </c>
      <c r="FA9" s="7" t="s">
        <v>89</v>
      </c>
      <c r="FB9" s="6"/>
      <c r="FC9" s="7" t="s">
        <v>92</v>
      </c>
      <c r="FE9" s="1">
        <v>43100</v>
      </c>
      <c r="FF9" s="6"/>
      <c r="FG9" s="6">
        <v>798382400.07500005</v>
      </c>
      <c r="FH9" s="6"/>
      <c r="FI9" s="6"/>
      <c r="FJ9" s="6"/>
      <c r="FK9" s="6"/>
      <c r="FL9" s="6"/>
      <c r="FM9" s="6"/>
      <c r="FN9" s="6"/>
      <c r="FO9" s="6"/>
      <c r="FP9" s="6"/>
      <c r="FQ9" s="6">
        <v>341.9</v>
      </c>
      <c r="FR9" s="6"/>
      <c r="FS9" s="6">
        <v>798382400.07499993</v>
      </c>
      <c r="FT9" s="7" t="s">
        <v>26</v>
      </c>
      <c r="FU9" s="7" t="s">
        <v>89</v>
      </c>
      <c r="FV9" s="6"/>
      <c r="FW9" s="7" t="s">
        <v>100</v>
      </c>
      <c r="FY9" s="1">
        <v>43100</v>
      </c>
      <c r="FZ9" s="6"/>
      <c r="GA9" s="6">
        <v>11585423941.200001</v>
      </c>
      <c r="GB9" s="6"/>
      <c r="GC9" s="6"/>
      <c r="GD9" s="6"/>
      <c r="GE9" s="6"/>
      <c r="GF9" s="6"/>
      <c r="GG9" s="6"/>
      <c r="GH9" s="6"/>
      <c r="GI9" s="6"/>
      <c r="GJ9" s="6"/>
      <c r="GK9" s="6">
        <v>153.9</v>
      </c>
      <c r="GL9" s="6"/>
      <c r="GM9" s="6">
        <v>11264530898.700001</v>
      </c>
      <c r="GN9" s="7" t="s">
        <v>26</v>
      </c>
      <c r="GO9" s="7" t="s">
        <v>93</v>
      </c>
      <c r="GP9" s="6"/>
      <c r="GQ9" s="7" t="s">
        <v>101</v>
      </c>
      <c r="GS9" s="1">
        <v>43100</v>
      </c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7" t="s">
        <v>26</v>
      </c>
      <c r="HI9" s="7" t="s">
        <v>103</v>
      </c>
      <c r="HJ9" s="6"/>
      <c r="HK9" s="8"/>
      <c r="HM9" s="1">
        <v>43100</v>
      </c>
      <c r="HN9" s="6"/>
      <c r="HO9" s="6">
        <v>784880914.57999992</v>
      </c>
      <c r="HP9" s="6">
        <v>107810000</v>
      </c>
      <c r="HQ9" s="6">
        <v>107810000</v>
      </c>
      <c r="HR9" s="6"/>
      <c r="HS9" s="6"/>
      <c r="HT9" s="6"/>
      <c r="HU9" s="6">
        <v>77480000</v>
      </c>
      <c r="HV9" s="6"/>
      <c r="HW9" s="6"/>
      <c r="HX9" s="6"/>
      <c r="HY9" s="6"/>
      <c r="HZ9" s="6"/>
      <c r="IA9" s="6"/>
      <c r="IB9" s="7" t="s">
        <v>26</v>
      </c>
      <c r="IC9" s="7" t="s">
        <v>103</v>
      </c>
      <c r="ID9" s="6"/>
      <c r="IE9" s="7" t="s">
        <v>105</v>
      </c>
      <c r="IG9" s="1">
        <v>43100</v>
      </c>
      <c r="IH9" s="6"/>
      <c r="II9" s="6">
        <v>28877368471.200001</v>
      </c>
      <c r="IJ9" s="6">
        <v>7351000000</v>
      </c>
      <c r="IK9" s="6">
        <v>7352000000</v>
      </c>
      <c r="IL9" s="6"/>
      <c r="IM9" s="6"/>
      <c r="IN9" s="6"/>
      <c r="IO9" s="6">
        <v>2280000000</v>
      </c>
      <c r="IP9" s="6"/>
      <c r="IQ9" s="6"/>
      <c r="IR9" s="6"/>
      <c r="IS9" s="6">
        <v>174.6</v>
      </c>
      <c r="IT9" s="6"/>
      <c r="IU9" s="6">
        <v>28877368471.200001</v>
      </c>
      <c r="IV9" s="7" t="s">
        <v>26</v>
      </c>
      <c r="IW9" s="7" t="s">
        <v>97</v>
      </c>
      <c r="IX9" s="6"/>
      <c r="IY9" s="7" t="s">
        <v>102</v>
      </c>
      <c r="JA9" s="1">
        <v>43100</v>
      </c>
      <c r="JB9" s="6"/>
      <c r="JC9" s="6"/>
      <c r="JD9" s="6">
        <v>3714000000</v>
      </c>
      <c r="JE9" s="6"/>
      <c r="JF9" s="6"/>
      <c r="JG9" s="6"/>
      <c r="JH9" s="6"/>
      <c r="JI9" s="6">
        <v>2296000000</v>
      </c>
      <c r="JJ9" s="6"/>
      <c r="JK9" s="6"/>
      <c r="JL9" s="6"/>
      <c r="JM9" s="6">
        <v>196.3</v>
      </c>
      <c r="JN9" s="6"/>
      <c r="JO9" s="6"/>
      <c r="JP9" s="7" t="s">
        <v>26</v>
      </c>
      <c r="JQ9" s="7" t="s">
        <v>97</v>
      </c>
      <c r="JR9" s="6"/>
      <c r="JS9" s="7" t="s">
        <v>106</v>
      </c>
    </row>
    <row r="10" spans="1:279" x14ac:dyDescent="0.35">
      <c r="A10" s="9">
        <v>43465</v>
      </c>
      <c r="B10" s="6"/>
      <c r="C10" s="6">
        <v>18724276575.400002</v>
      </c>
      <c r="D10" s="6"/>
      <c r="E10" s="6"/>
      <c r="F10" s="6"/>
      <c r="G10" s="6"/>
      <c r="H10" s="6"/>
      <c r="I10" s="6"/>
      <c r="J10" s="6"/>
      <c r="K10" s="6"/>
      <c r="L10" s="6"/>
      <c r="M10" s="6">
        <v>135.4</v>
      </c>
      <c r="N10" s="6"/>
      <c r="O10" s="6">
        <v>18724276575.400002</v>
      </c>
      <c r="P10" s="7" t="s">
        <v>26</v>
      </c>
      <c r="Q10" s="7" t="s">
        <v>103</v>
      </c>
      <c r="R10" s="6"/>
      <c r="S10" s="7" t="s">
        <v>104</v>
      </c>
      <c r="U10" s="9">
        <v>43465</v>
      </c>
      <c r="V10" s="6"/>
      <c r="W10" s="6">
        <v>8018730162.2400007</v>
      </c>
      <c r="X10" s="6">
        <v>1289800000</v>
      </c>
      <c r="Y10" s="6">
        <v>1305300000</v>
      </c>
      <c r="Z10" s="6"/>
      <c r="AA10" s="6"/>
      <c r="AB10" s="6"/>
      <c r="AC10" s="6">
        <v>1252200000</v>
      </c>
      <c r="AD10" s="6"/>
      <c r="AE10" s="6"/>
      <c r="AF10" s="6"/>
      <c r="AG10" s="6">
        <v>26.96</v>
      </c>
      <c r="AH10" s="6"/>
      <c r="AI10" s="6">
        <v>8018730162.2400007</v>
      </c>
      <c r="AJ10" s="7" t="s">
        <v>26</v>
      </c>
      <c r="AK10" s="7" t="s">
        <v>93</v>
      </c>
      <c r="AL10" s="6"/>
      <c r="AM10" s="7" t="s">
        <v>94</v>
      </c>
      <c r="AO10" s="1">
        <v>43465</v>
      </c>
      <c r="AP10" s="6"/>
      <c r="AQ10" s="6">
        <v>2524364054.5679998</v>
      </c>
      <c r="AR10" s="6"/>
      <c r="AS10" s="6"/>
      <c r="AT10" s="6"/>
      <c r="AU10" s="6"/>
      <c r="AV10" s="6"/>
      <c r="AW10" s="6"/>
      <c r="AX10" s="6"/>
      <c r="AY10" s="6"/>
      <c r="AZ10" s="6"/>
      <c r="BA10" s="6">
        <v>329.4</v>
      </c>
      <c r="BB10" s="6"/>
      <c r="BC10" s="6">
        <v>2524364054.5679998</v>
      </c>
      <c r="BD10" s="7" t="s">
        <v>26</v>
      </c>
      <c r="BE10" s="7" t="s">
        <v>89</v>
      </c>
      <c r="BF10" s="6"/>
      <c r="BG10" s="7" t="s">
        <v>99</v>
      </c>
      <c r="BI10" s="1">
        <v>43465</v>
      </c>
      <c r="BJ10" s="6"/>
      <c r="BK10" s="6">
        <v>1518674120.3339999</v>
      </c>
      <c r="BL10" s="6"/>
      <c r="BM10" s="6"/>
      <c r="BN10" s="6"/>
      <c r="BO10" s="6"/>
      <c r="BP10" s="6"/>
      <c r="BQ10" s="6"/>
      <c r="BR10" s="6"/>
      <c r="BS10" s="6"/>
      <c r="BT10" s="6"/>
      <c r="BU10" s="6">
        <v>113.4</v>
      </c>
      <c r="BV10" s="6"/>
      <c r="BW10" s="6">
        <v>1518674120.3340001</v>
      </c>
      <c r="BX10" s="7" t="s">
        <v>26</v>
      </c>
      <c r="BY10" s="7" t="s">
        <v>89</v>
      </c>
      <c r="BZ10" s="6"/>
      <c r="CA10" s="7" t="s">
        <v>90</v>
      </c>
      <c r="CC10" s="1">
        <v>43465</v>
      </c>
      <c r="CD10" s="6"/>
      <c r="CE10" s="6">
        <v>2590986240.3200002</v>
      </c>
      <c r="CF10" s="6">
        <v>435552000</v>
      </c>
      <c r="CG10" s="6"/>
      <c r="CH10" s="6"/>
      <c r="CI10" s="6"/>
      <c r="CJ10" s="6"/>
      <c r="CK10" s="6">
        <v>300094000</v>
      </c>
      <c r="CL10" s="6"/>
      <c r="CM10" s="6"/>
      <c r="CN10" s="6"/>
      <c r="CO10" s="6">
        <v>27.62</v>
      </c>
      <c r="CP10" s="6"/>
      <c r="CQ10" s="6">
        <v>2590986240.3200002</v>
      </c>
      <c r="CR10" s="7" t="s">
        <v>26</v>
      </c>
      <c r="CS10" s="7" t="s">
        <v>95</v>
      </c>
      <c r="CT10" s="6"/>
      <c r="CU10" s="7" t="s">
        <v>96</v>
      </c>
      <c r="CW10" s="1">
        <v>43465</v>
      </c>
      <c r="CX10" s="6"/>
      <c r="CY10" s="6">
        <v>44627410466.099998</v>
      </c>
      <c r="CZ10" s="6">
        <v>9155000000</v>
      </c>
      <c r="DA10" s="6"/>
      <c r="DB10" s="6"/>
      <c r="DC10" s="6"/>
      <c r="DD10" s="6"/>
      <c r="DE10" s="6">
        <v>5577000000</v>
      </c>
      <c r="DF10" s="6"/>
      <c r="DG10" s="6"/>
      <c r="DH10" s="6"/>
      <c r="DI10" s="6">
        <v>163.35</v>
      </c>
      <c r="DJ10" s="6"/>
      <c r="DK10" s="6">
        <v>44627410466.099998</v>
      </c>
      <c r="DL10" s="7" t="s">
        <v>26</v>
      </c>
      <c r="DM10" s="7" t="s">
        <v>97</v>
      </c>
      <c r="DN10" s="6"/>
      <c r="DO10" s="7" t="s">
        <v>98</v>
      </c>
      <c r="DQ10" s="1">
        <v>43465</v>
      </c>
      <c r="DR10" s="6"/>
      <c r="DS10" s="6">
        <v>2552144663.0349998</v>
      </c>
      <c r="DT10" s="6"/>
      <c r="DU10" s="6"/>
      <c r="DV10" s="6"/>
      <c r="DW10" s="6"/>
      <c r="DX10" s="6"/>
      <c r="DY10" s="6"/>
      <c r="DZ10" s="6"/>
      <c r="EA10" s="6"/>
      <c r="EB10" s="6"/>
      <c r="EC10" s="6">
        <v>830.5</v>
      </c>
      <c r="ED10" s="6"/>
      <c r="EE10" s="6">
        <v>2552144663.0349998</v>
      </c>
      <c r="EF10" s="7" t="s">
        <v>26</v>
      </c>
      <c r="EG10" s="7" t="s">
        <v>89</v>
      </c>
      <c r="EH10" s="6"/>
      <c r="EI10" s="7" t="s">
        <v>91</v>
      </c>
      <c r="EK10" s="1">
        <v>43465</v>
      </c>
      <c r="EL10" s="6"/>
      <c r="EM10" s="6">
        <v>5239174572.1600008</v>
      </c>
      <c r="EN10" s="6"/>
      <c r="EO10" s="6"/>
      <c r="EP10" s="6"/>
      <c r="EQ10" s="6"/>
      <c r="ER10" s="6"/>
      <c r="ES10" s="6"/>
      <c r="ET10" s="6"/>
      <c r="EU10" s="6"/>
      <c r="EV10" s="6"/>
      <c r="EW10" s="6">
        <v>533.20000000000005</v>
      </c>
      <c r="EX10" s="6"/>
      <c r="EY10" s="6">
        <v>5239174572.1600008</v>
      </c>
      <c r="EZ10" s="7" t="s">
        <v>26</v>
      </c>
      <c r="FA10" s="7" t="s">
        <v>89</v>
      </c>
      <c r="FB10" s="6"/>
      <c r="FC10" s="7" t="s">
        <v>92</v>
      </c>
      <c r="FE10" s="1">
        <v>43465</v>
      </c>
      <c r="FF10" s="6"/>
      <c r="FG10" s="6">
        <v>493880893.875</v>
      </c>
      <c r="FH10" s="6"/>
      <c r="FI10" s="6"/>
      <c r="FJ10" s="6"/>
      <c r="FK10" s="6"/>
      <c r="FL10" s="6"/>
      <c r="FM10" s="6"/>
      <c r="FN10" s="6"/>
      <c r="FO10" s="6"/>
      <c r="FP10" s="6"/>
      <c r="FQ10" s="6">
        <v>211.5</v>
      </c>
      <c r="FR10" s="6"/>
      <c r="FS10" s="6">
        <v>493880893.87500006</v>
      </c>
      <c r="FT10" s="7" t="s">
        <v>26</v>
      </c>
      <c r="FU10" s="7" t="s">
        <v>89</v>
      </c>
      <c r="FV10" s="6"/>
      <c r="FW10" s="7" t="s">
        <v>100</v>
      </c>
      <c r="FY10" s="1">
        <v>43465</v>
      </c>
      <c r="FZ10" s="6"/>
      <c r="GA10" s="6">
        <v>8376274612</v>
      </c>
      <c r="GB10" s="6"/>
      <c r="GC10" s="6"/>
      <c r="GD10" s="6"/>
      <c r="GE10" s="6"/>
      <c r="GF10" s="6"/>
      <c r="GG10" s="6"/>
      <c r="GH10" s="6"/>
      <c r="GI10" s="6"/>
      <c r="GJ10" s="6"/>
      <c r="GK10" s="6">
        <v>113</v>
      </c>
      <c r="GL10" s="6"/>
      <c r="GM10" s="6">
        <v>8376274612</v>
      </c>
      <c r="GN10" s="7" t="s">
        <v>26</v>
      </c>
      <c r="GO10" s="7" t="s">
        <v>93</v>
      </c>
      <c r="GP10" s="6"/>
      <c r="GQ10" s="7" t="s">
        <v>101</v>
      </c>
      <c r="GS10" s="1">
        <v>43465</v>
      </c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7" t="s">
        <v>26</v>
      </c>
      <c r="HI10" s="7" t="s">
        <v>103</v>
      </c>
      <c r="HJ10" s="6"/>
      <c r="HK10" s="8"/>
      <c r="HM10" s="1">
        <v>43465</v>
      </c>
      <c r="HN10" s="6"/>
      <c r="HO10" s="6">
        <v>596418119.17999995</v>
      </c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7" t="s">
        <v>26</v>
      </c>
      <c r="IC10" s="7" t="s">
        <v>103</v>
      </c>
      <c r="ID10" s="6"/>
      <c r="IE10" s="7" t="s">
        <v>105</v>
      </c>
      <c r="IG10" s="1">
        <v>43465</v>
      </c>
      <c r="IH10" s="6"/>
      <c r="II10" s="6">
        <v>19542668147.52</v>
      </c>
      <c r="IJ10" s="6"/>
      <c r="IK10" s="6"/>
      <c r="IL10" s="6"/>
      <c r="IM10" s="6"/>
      <c r="IN10" s="6"/>
      <c r="IO10" s="6"/>
      <c r="IP10" s="6"/>
      <c r="IQ10" s="6"/>
      <c r="IR10" s="6"/>
      <c r="IS10" s="6">
        <v>118.16</v>
      </c>
      <c r="IT10" s="6"/>
      <c r="IU10" s="6">
        <v>19542668147.52</v>
      </c>
      <c r="IV10" s="7" t="s">
        <v>26</v>
      </c>
      <c r="IW10" s="7" t="s">
        <v>97</v>
      </c>
      <c r="IX10" s="6"/>
      <c r="IY10" s="7" t="s">
        <v>102</v>
      </c>
      <c r="JA10" s="1">
        <v>43465</v>
      </c>
      <c r="JB10" s="6"/>
      <c r="JC10" s="6">
        <v>15740257894.400002</v>
      </c>
      <c r="JD10" s="6">
        <v>3224000000</v>
      </c>
      <c r="JE10" s="6"/>
      <c r="JF10" s="6"/>
      <c r="JG10" s="6"/>
      <c r="JH10" s="6"/>
      <c r="JI10" s="6">
        <v>2684000000</v>
      </c>
      <c r="JJ10" s="6"/>
      <c r="JK10" s="6"/>
      <c r="JL10" s="6"/>
      <c r="JM10" s="6">
        <v>102.4</v>
      </c>
      <c r="JN10" s="6"/>
      <c r="JO10" s="6">
        <v>15740257894.400002</v>
      </c>
      <c r="JP10" s="7" t="s">
        <v>26</v>
      </c>
      <c r="JQ10" s="7" t="s">
        <v>97</v>
      </c>
      <c r="JR10" s="6"/>
      <c r="JS10" s="7" t="s">
        <v>106</v>
      </c>
    </row>
    <row r="11" spans="1:279" x14ac:dyDescent="0.35">
      <c r="A11" s="9">
        <v>43830</v>
      </c>
      <c r="B11" s="6"/>
      <c r="C11" s="6">
        <v>19462950793.25</v>
      </c>
      <c r="D11" s="6"/>
      <c r="E11" s="6"/>
      <c r="F11" s="6"/>
      <c r="G11" s="6"/>
      <c r="H11" s="6"/>
      <c r="I11" s="6"/>
      <c r="J11" s="6"/>
      <c r="K11" s="6"/>
      <c r="L11" s="6"/>
      <c r="M11" s="6">
        <v>140.65</v>
      </c>
      <c r="N11" s="6"/>
      <c r="O11" s="6">
        <v>19462950793.25</v>
      </c>
      <c r="P11" s="7" t="s">
        <v>26</v>
      </c>
      <c r="Q11" s="7" t="s">
        <v>103</v>
      </c>
      <c r="R11" s="6"/>
      <c r="S11" s="7" t="s">
        <v>104</v>
      </c>
      <c r="U11" s="9">
        <v>43830</v>
      </c>
      <c r="V11" s="6"/>
      <c r="W11" s="6">
        <v>9773715969.5</v>
      </c>
      <c r="X11" s="6">
        <v>518300000</v>
      </c>
      <c r="Y11" s="6">
        <v>536600000</v>
      </c>
      <c r="Z11" s="6"/>
      <c r="AA11" s="6"/>
      <c r="AB11" s="6"/>
      <c r="AC11" s="6">
        <v>1242300000</v>
      </c>
      <c r="AD11" s="6"/>
      <c r="AE11" s="6"/>
      <c r="AF11" s="6"/>
      <c r="AG11" s="6">
        <v>33.85</v>
      </c>
      <c r="AH11" s="6"/>
      <c r="AI11" s="6">
        <v>9773715969.5</v>
      </c>
      <c r="AJ11" s="7" t="s">
        <v>26</v>
      </c>
      <c r="AK11" s="7" t="s">
        <v>93</v>
      </c>
      <c r="AL11" s="6"/>
      <c r="AM11" s="7" t="s">
        <v>94</v>
      </c>
      <c r="AO11" s="1">
        <v>43830</v>
      </c>
      <c r="AP11" s="6"/>
      <c r="AQ11" s="6">
        <v>2365548383.3309999</v>
      </c>
      <c r="AR11" s="6"/>
      <c r="AS11" s="6"/>
      <c r="AT11" s="6"/>
      <c r="AU11" s="6"/>
      <c r="AV11" s="6"/>
      <c r="AW11" s="6"/>
      <c r="AX11" s="6"/>
      <c r="AY11" s="6"/>
      <c r="AZ11" s="6"/>
      <c r="BA11" s="6">
        <v>308.7</v>
      </c>
      <c r="BB11" s="6"/>
      <c r="BC11" s="6">
        <v>2365548383.3309999</v>
      </c>
      <c r="BD11" s="7" t="s">
        <v>26</v>
      </c>
      <c r="BE11" s="7" t="s">
        <v>89</v>
      </c>
      <c r="BF11" s="6"/>
      <c r="BG11" s="7" t="s">
        <v>99</v>
      </c>
      <c r="BI11" s="1">
        <v>43830</v>
      </c>
      <c r="BJ11" s="6"/>
      <c r="BK11" s="6">
        <v>460713682.62</v>
      </c>
      <c r="BL11" s="6"/>
      <c r="BM11" s="6"/>
      <c r="BN11" s="6"/>
      <c r="BO11" s="6"/>
      <c r="BP11" s="6"/>
      <c r="BQ11" s="6">
        <v>542300000</v>
      </c>
      <c r="BR11" s="6"/>
      <c r="BS11" s="6"/>
      <c r="BT11" s="6"/>
      <c r="BU11" s="6">
        <v>34</v>
      </c>
      <c r="BV11" s="6"/>
      <c r="BW11" s="6">
        <v>460713682.62</v>
      </c>
      <c r="BX11" s="7" t="s">
        <v>26</v>
      </c>
      <c r="BY11" s="7" t="s">
        <v>89</v>
      </c>
      <c r="BZ11" s="6"/>
      <c r="CA11" s="7" t="s">
        <v>90</v>
      </c>
      <c r="CC11" s="1">
        <v>43830</v>
      </c>
      <c r="CD11" s="6"/>
      <c r="CE11" s="6">
        <v>3513122183.2000003</v>
      </c>
      <c r="CF11" s="6">
        <v>585444000</v>
      </c>
      <c r="CG11" s="6"/>
      <c r="CH11" s="6"/>
      <c r="CI11" s="6"/>
      <c r="CJ11" s="6"/>
      <c r="CK11" s="6">
        <v>286571000</v>
      </c>
      <c r="CL11" s="6"/>
      <c r="CM11" s="6"/>
      <c r="CN11" s="6"/>
      <c r="CO11" s="6">
        <v>37.450000000000003</v>
      </c>
      <c r="CP11" s="6"/>
      <c r="CQ11" s="6">
        <v>3513122183.2000003</v>
      </c>
      <c r="CR11" s="7" t="s">
        <v>26</v>
      </c>
      <c r="CS11" s="7" t="s">
        <v>95</v>
      </c>
      <c r="CT11" s="6"/>
      <c r="CU11" s="7" t="s">
        <v>96</v>
      </c>
      <c r="CW11" s="1">
        <v>43830</v>
      </c>
      <c r="CX11" s="6"/>
      <c r="CY11" s="6">
        <v>60104256520</v>
      </c>
      <c r="CZ11" s="6">
        <v>7545000000</v>
      </c>
      <c r="DA11" s="6"/>
      <c r="DB11" s="6"/>
      <c r="DC11" s="6"/>
      <c r="DD11" s="6"/>
      <c r="DE11" s="6">
        <v>5821000000</v>
      </c>
      <c r="DF11" s="6"/>
      <c r="DG11" s="6"/>
      <c r="DH11" s="6"/>
      <c r="DI11" s="6">
        <v>220</v>
      </c>
      <c r="DJ11" s="6"/>
      <c r="DK11" s="6">
        <v>60104256520</v>
      </c>
      <c r="DL11" s="7" t="s">
        <v>26</v>
      </c>
      <c r="DM11" s="7" t="s">
        <v>97</v>
      </c>
      <c r="DN11" s="6"/>
      <c r="DO11" s="7" t="s">
        <v>98</v>
      </c>
      <c r="DQ11" s="1">
        <v>43830</v>
      </c>
      <c r="DR11" s="6"/>
      <c r="DS11" s="6">
        <v>2905049211.75</v>
      </c>
      <c r="DT11" s="6"/>
      <c r="DU11" s="6"/>
      <c r="DV11" s="6"/>
      <c r="DW11" s="6"/>
      <c r="DX11" s="6"/>
      <c r="DY11" s="6"/>
      <c r="DZ11" s="6"/>
      <c r="EA11" s="6"/>
      <c r="EB11" s="6"/>
      <c r="EC11" s="6">
        <v>945</v>
      </c>
      <c r="ED11" s="6"/>
      <c r="EE11" s="6">
        <v>2905049211.75</v>
      </c>
      <c r="EF11" s="7" t="s">
        <v>26</v>
      </c>
      <c r="EG11" s="7" t="s">
        <v>89</v>
      </c>
      <c r="EH11" s="6"/>
      <c r="EI11" s="7" t="s">
        <v>91</v>
      </c>
      <c r="EK11" s="1">
        <v>43830</v>
      </c>
      <c r="EL11" s="6"/>
      <c r="EM11" s="6">
        <v>5919465918.0879993</v>
      </c>
      <c r="EN11" s="6"/>
      <c r="EO11" s="6"/>
      <c r="EP11" s="6"/>
      <c r="EQ11" s="6"/>
      <c r="ER11" s="6"/>
      <c r="ES11" s="6"/>
      <c r="ET11" s="6"/>
      <c r="EU11" s="6"/>
      <c r="EV11" s="6"/>
      <c r="EW11" s="6">
        <v>638.79999999999995</v>
      </c>
      <c r="EX11" s="6"/>
      <c r="EY11" s="6">
        <v>5919465918.0880003</v>
      </c>
      <c r="EZ11" s="7" t="s">
        <v>26</v>
      </c>
      <c r="FA11" s="7" t="s">
        <v>89</v>
      </c>
      <c r="FB11" s="6"/>
      <c r="FC11" s="7" t="s">
        <v>92</v>
      </c>
      <c r="FE11" s="1">
        <v>43830</v>
      </c>
      <c r="FF11" s="6"/>
      <c r="FG11" s="6">
        <v>468194417.125</v>
      </c>
      <c r="FH11" s="6"/>
      <c r="FI11" s="6"/>
      <c r="FJ11" s="6"/>
      <c r="FK11" s="6"/>
      <c r="FL11" s="6"/>
      <c r="FM11" s="6"/>
      <c r="FN11" s="6"/>
      <c r="FO11" s="6"/>
      <c r="FP11" s="6"/>
      <c r="FQ11" s="6">
        <v>200.5</v>
      </c>
      <c r="FR11" s="6"/>
      <c r="FS11" s="6">
        <v>468194417.125</v>
      </c>
      <c r="FT11" s="7" t="s">
        <v>26</v>
      </c>
      <c r="FU11" s="7" t="s">
        <v>89</v>
      </c>
      <c r="FV11" s="6"/>
      <c r="FW11" s="7" t="s">
        <v>100</v>
      </c>
      <c r="FY11" s="1">
        <v>43830</v>
      </c>
      <c r="FZ11" s="6"/>
      <c r="GA11" s="6">
        <v>11722815031.199999</v>
      </c>
      <c r="GB11" s="6"/>
      <c r="GC11" s="6"/>
      <c r="GD11" s="6"/>
      <c r="GE11" s="6"/>
      <c r="GF11" s="6"/>
      <c r="GG11" s="6"/>
      <c r="GH11" s="6"/>
      <c r="GI11" s="6"/>
      <c r="GJ11" s="6"/>
      <c r="GK11" s="6">
        <v>159.6</v>
      </c>
      <c r="GL11" s="6"/>
      <c r="GM11" s="6">
        <v>11722815031.199999</v>
      </c>
      <c r="GN11" s="7" t="s">
        <v>26</v>
      </c>
      <c r="GO11" s="7" t="s">
        <v>93</v>
      </c>
      <c r="GP11" s="6"/>
      <c r="GQ11" s="7" t="s">
        <v>101</v>
      </c>
      <c r="GS11" s="1">
        <v>43830</v>
      </c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7" t="s">
        <v>26</v>
      </c>
      <c r="HI11" s="7" t="s">
        <v>103</v>
      </c>
      <c r="HJ11" s="6"/>
      <c r="HK11" s="8"/>
      <c r="HM11" s="1">
        <v>43830</v>
      </c>
      <c r="HN11" s="6"/>
      <c r="HO11" s="6">
        <v>511609861.25</v>
      </c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7" t="s">
        <v>26</v>
      </c>
      <c r="IC11" s="7" t="s">
        <v>103</v>
      </c>
      <c r="ID11" s="6"/>
      <c r="IE11" s="7" t="s">
        <v>105</v>
      </c>
      <c r="IG11" s="1">
        <v>43830</v>
      </c>
      <c r="IH11" s="6"/>
      <c r="II11" s="6">
        <v>25751467760.399998</v>
      </c>
      <c r="IJ11" s="6"/>
      <c r="IK11" s="6"/>
      <c r="IL11" s="6"/>
      <c r="IM11" s="6"/>
      <c r="IN11" s="6"/>
      <c r="IO11" s="6"/>
      <c r="IP11" s="6"/>
      <c r="IQ11" s="6"/>
      <c r="IR11" s="6"/>
      <c r="IS11" s="6">
        <v>155.69999999999999</v>
      </c>
      <c r="IT11" s="6"/>
      <c r="IU11" s="6">
        <v>25751467760.399998</v>
      </c>
      <c r="IV11" s="7" t="s">
        <v>26</v>
      </c>
      <c r="IW11" s="7" t="s">
        <v>97</v>
      </c>
      <c r="IX11" s="6"/>
      <c r="IY11" s="7" t="s">
        <v>102</v>
      </c>
      <c r="JA11" s="1">
        <v>43830</v>
      </c>
      <c r="JB11" s="6"/>
      <c r="JC11" s="6">
        <v>26515571160</v>
      </c>
      <c r="JD11" s="6">
        <v>3555000000</v>
      </c>
      <c r="JE11" s="6"/>
      <c r="JF11" s="6"/>
      <c r="JG11" s="6"/>
      <c r="JH11" s="6"/>
      <c r="JI11" s="6">
        <v>2983000000</v>
      </c>
      <c r="JJ11" s="6"/>
      <c r="JK11" s="6"/>
      <c r="JL11" s="6"/>
      <c r="JM11" s="6">
        <v>172.5</v>
      </c>
      <c r="JN11" s="6"/>
      <c r="JO11" s="6">
        <v>26515571160</v>
      </c>
      <c r="JP11" s="7" t="s">
        <v>26</v>
      </c>
      <c r="JQ11" s="7" t="s">
        <v>97</v>
      </c>
      <c r="JR11" s="6"/>
      <c r="JS11" s="7" t="s">
        <v>106</v>
      </c>
    </row>
    <row r="12" spans="1:279" x14ac:dyDescent="0.35">
      <c r="A12" s="9">
        <v>44196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52</v>
      </c>
      <c r="N12" s="6"/>
      <c r="O12" s="6"/>
      <c r="P12" s="7" t="s">
        <v>26</v>
      </c>
      <c r="Q12" s="7" t="s">
        <v>103</v>
      </c>
      <c r="R12" s="6"/>
      <c r="S12" s="7" t="s">
        <v>104</v>
      </c>
      <c r="U12" s="9">
        <v>44196</v>
      </c>
      <c r="V12" s="6"/>
      <c r="W12" s="6">
        <v>5245289257.9800005</v>
      </c>
      <c r="X12" s="6">
        <v>-893900000</v>
      </c>
      <c r="Y12" s="6">
        <v>-758000000</v>
      </c>
      <c r="Z12" s="6"/>
      <c r="AA12" s="6"/>
      <c r="AB12" s="6"/>
      <c r="AC12" s="6">
        <v>1062400000</v>
      </c>
      <c r="AD12" s="6"/>
      <c r="AE12" s="6"/>
      <c r="AF12" s="6"/>
      <c r="AG12" s="6">
        <v>18.39</v>
      </c>
      <c r="AH12" s="6"/>
      <c r="AI12" s="6">
        <v>5245289257.9800005</v>
      </c>
      <c r="AJ12" s="7" t="s">
        <v>26</v>
      </c>
      <c r="AK12" s="7" t="s">
        <v>93</v>
      </c>
      <c r="AL12" s="6"/>
      <c r="AM12" s="7" t="s">
        <v>94</v>
      </c>
      <c r="AO12" s="1">
        <v>44196</v>
      </c>
      <c r="AP12" s="6"/>
      <c r="AQ12" s="6">
        <v>1008238596.2390001</v>
      </c>
      <c r="AR12" s="6"/>
      <c r="AS12" s="6"/>
      <c r="AT12" s="6"/>
      <c r="AU12" s="6"/>
      <c r="AV12" s="6"/>
      <c r="AW12" s="6"/>
      <c r="AX12" s="6"/>
      <c r="AY12" s="6"/>
      <c r="AZ12" s="6"/>
      <c r="BA12" s="6">
        <v>24.85</v>
      </c>
      <c r="BB12" s="6"/>
      <c r="BC12" s="6">
        <v>1008238596.2390001</v>
      </c>
      <c r="BD12" s="7" t="s">
        <v>26</v>
      </c>
      <c r="BE12" s="7" t="s">
        <v>89</v>
      </c>
      <c r="BF12" s="6"/>
      <c r="BG12" s="7" t="s">
        <v>99</v>
      </c>
      <c r="BI12" s="1">
        <v>44196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>
        <v>1.776</v>
      </c>
      <c r="BV12" s="6"/>
      <c r="BW12" s="6"/>
      <c r="BX12" s="7" t="s">
        <v>26</v>
      </c>
      <c r="BY12" s="7" t="s">
        <v>89</v>
      </c>
      <c r="BZ12" s="6"/>
      <c r="CA12" s="7" t="s">
        <v>90</v>
      </c>
      <c r="CC12" s="1">
        <v>44196</v>
      </c>
      <c r="CD12" s="6"/>
      <c r="CE12" s="6">
        <v>2940891333.5999999</v>
      </c>
      <c r="CF12" s="6">
        <v>390605000</v>
      </c>
      <c r="CG12" s="6"/>
      <c r="CH12" s="6"/>
      <c r="CI12" s="6"/>
      <c r="CJ12" s="6"/>
      <c r="CK12" s="6">
        <v>362834000</v>
      </c>
      <c r="CL12" s="6"/>
      <c r="CM12" s="6"/>
      <c r="CN12" s="6"/>
      <c r="CO12" s="6">
        <v>31.35</v>
      </c>
      <c r="CP12" s="6"/>
      <c r="CQ12" s="6">
        <v>2940891333.5999999</v>
      </c>
      <c r="CR12" s="7" t="s">
        <v>26</v>
      </c>
      <c r="CS12" s="7" t="s">
        <v>95</v>
      </c>
      <c r="CT12" s="6"/>
      <c r="CU12" s="7" t="s">
        <v>96</v>
      </c>
      <c r="CW12" s="1">
        <v>44196</v>
      </c>
      <c r="CX12" s="6"/>
      <c r="CY12" s="6">
        <v>57017083344.199997</v>
      </c>
      <c r="CZ12" s="6">
        <v>7817000000</v>
      </c>
      <c r="DA12" s="6"/>
      <c r="DB12" s="6"/>
      <c r="DC12" s="6"/>
      <c r="DD12" s="6"/>
      <c r="DE12" s="6">
        <v>6004000000</v>
      </c>
      <c r="DF12" s="6"/>
      <c r="DG12" s="6"/>
      <c r="DH12" s="6"/>
      <c r="DI12" s="6">
        <v>208.7</v>
      </c>
      <c r="DJ12" s="6"/>
      <c r="DK12" s="6">
        <v>57017083344.199997</v>
      </c>
      <c r="DL12" s="7" t="s">
        <v>26</v>
      </c>
      <c r="DM12" s="7" t="s">
        <v>97</v>
      </c>
      <c r="DN12" s="6"/>
      <c r="DO12" s="7" t="s">
        <v>98</v>
      </c>
      <c r="DQ12" s="1">
        <v>44196</v>
      </c>
      <c r="DR12" s="6"/>
      <c r="DS12" s="6">
        <v>1749205785.53</v>
      </c>
      <c r="DT12" s="6"/>
      <c r="DU12" s="6"/>
      <c r="DV12" s="6"/>
      <c r="DW12" s="6"/>
      <c r="DX12" s="6"/>
      <c r="DY12" s="6"/>
      <c r="DZ12" s="6"/>
      <c r="EA12" s="6"/>
      <c r="EB12" s="6"/>
      <c r="EC12" s="6">
        <v>569</v>
      </c>
      <c r="ED12" s="6"/>
      <c r="EE12" s="6">
        <v>1749205785.5300002</v>
      </c>
      <c r="EF12" s="7" t="s">
        <v>26</v>
      </c>
      <c r="EG12" s="7" t="s">
        <v>89</v>
      </c>
      <c r="EH12" s="6"/>
      <c r="EI12" s="7" t="s">
        <v>91</v>
      </c>
      <c r="EK12" s="1">
        <v>44196</v>
      </c>
      <c r="EL12" s="6"/>
      <c r="EM12" s="6">
        <v>4531389287.6400003</v>
      </c>
      <c r="EN12" s="6"/>
      <c r="EO12" s="6"/>
      <c r="EP12" s="6"/>
      <c r="EQ12" s="6"/>
      <c r="ER12" s="6"/>
      <c r="ES12" s="6"/>
      <c r="ET12" s="6"/>
      <c r="EU12" s="6"/>
      <c r="EV12" s="6"/>
      <c r="EW12" s="6">
        <v>489</v>
      </c>
      <c r="EX12" s="6"/>
      <c r="EY12" s="6">
        <v>4531389287.6399994</v>
      </c>
      <c r="EZ12" s="7" t="s">
        <v>26</v>
      </c>
      <c r="FA12" s="7" t="s">
        <v>89</v>
      </c>
      <c r="FB12" s="6"/>
      <c r="FC12" s="7" t="s">
        <v>92</v>
      </c>
      <c r="FE12" s="1">
        <v>44196</v>
      </c>
      <c r="FF12" s="6"/>
      <c r="FG12" s="6">
        <v>259001574.31799999</v>
      </c>
      <c r="FH12" s="6"/>
      <c r="FI12" s="6"/>
      <c r="FJ12" s="6"/>
      <c r="FK12" s="6"/>
      <c r="FL12" s="6"/>
      <c r="FM12" s="6"/>
      <c r="FN12" s="6"/>
      <c r="FO12" s="6"/>
      <c r="FP12" s="6"/>
      <c r="FQ12" s="6">
        <v>84.6</v>
      </c>
      <c r="FR12" s="6"/>
      <c r="FS12" s="6">
        <v>259001574.31799999</v>
      </c>
      <c r="FT12" s="7" t="s">
        <v>26</v>
      </c>
      <c r="FU12" s="7" t="s">
        <v>89</v>
      </c>
      <c r="FV12" s="6"/>
      <c r="FW12" s="7" t="s">
        <v>100</v>
      </c>
      <c r="FY12" s="1">
        <v>44196</v>
      </c>
      <c r="FZ12" s="6"/>
      <c r="GA12" s="6">
        <v>9298167983.6999989</v>
      </c>
      <c r="GB12" s="6"/>
      <c r="GC12" s="6"/>
      <c r="GD12" s="6"/>
      <c r="GE12" s="6"/>
      <c r="GF12" s="6"/>
      <c r="GG12" s="6"/>
      <c r="GH12" s="6"/>
      <c r="GI12" s="6"/>
      <c r="GJ12" s="6"/>
      <c r="GK12" s="6">
        <v>126.3</v>
      </c>
      <c r="GL12" s="6"/>
      <c r="GM12" s="6">
        <v>9298167983.6999989</v>
      </c>
      <c r="GN12" s="7" t="s">
        <v>26</v>
      </c>
      <c r="GO12" s="7" t="s">
        <v>93</v>
      </c>
      <c r="GP12" s="6"/>
      <c r="GQ12" s="7" t="s">
        <v>101</v>
      </c>
      <c r="GS12" s="1">
        <v>44196</v>
      </c>
      <c r="GT12" s="6"/>
      <c r="GU12" s="6">
        <v>703114987.5</v>
      </c>
      <c r="GV12" s="6"/>
      <c r="GW12" s="6"/>
      <c r="GX12" s="6"/>
      <c r="GY12" s="6"/>
      <c r="GZ12" s="6"/>
      <c r="HA12" s="6"/>
      <c r="HB12" s="6"/>
      <c r="HC12" s="6"/>
      <c r="HD12" s="6"/>
      <c r="HE12" s="6">
        <v>37.5</v>
      </c>
      <c r="HF12" s="6"/>
      <c r="HG12" s="6">
        <v>721504350</v>
      </c>
      <c r="HH12" s="7" t="s">
        <v>26</v>
      </c>
      <c r="HI12" s="7" t="s">
        <v>103</v>
      </c>
      <c r="HJ12" s="6"/>
      <c r="HK12" s="8"/>
      <c r="HM12" s="1">
        <v>44196</v>
      </c>
      <c r="HN12" s="6"/>
      <c r="HO12" s="6">
        <v>443553851.80000001</v>
      </c>
      <c r="HP12" s="6"/>
      <c r="HQ12" s="6"/>
      <c r="HR12" s="6"/>
      <c r="HS12" s="6"/>
      <c r="HT12" s="6"/>
      <c r="HU12" s="6"/>
      <c r="HV12" s="6"/>
      <c r="HW12" s="6"/>
      <c r="HX12" s="6"/>
      <c r="HY12" s="6">
        <v>24.95</v>
      </c>
      <c r="HZ12" s="6"/>
      <c r="IA12" s="6">
        <v>474964317.69999999</v>
      </c>
      <c r="IB12" s="7" t="s">
        <v>26</v>
      </c>
      <c r="IC12" s="7" t="s">
        <v>103</v>
      </c>
      <c r="ID12" s="6"/>
      <c r="IE12" s="7" t="s">
        <v>105</v>
      </c>
      <c r="IG12" s="1">
        <v>44196</v>
      </c>
      <c r="IH12" s="6"/>
      <c r="II12" s="6">
        <v>21393399838.200001</v>
      </c>
      <c r="IJ12" s="6"/>
      <c r="IK12" s="6"/>
      <c r="IL12" s="6"/>
      <c r="IM12" s="6"/>
      <c r="IN12" s="6"/>
      <c r="IO12" s="6"/>
      <c r="IP12" s="6"/>
      <c r="IQ12" s="6"/>
      <c r="IR12" s="6"/>
      <c r="IS12" s="6">
        <v>129.35</v>
      </c>
      <c r="IT12" s="6"/>
      <c r="IU12" s="6">
        <v>21393399838.200001</v>
      </c>
      <c r="IV12" s="7" t="s">
        <v>26</v>
      </c>
      <c r="IW12" s="7" t="s">
        <v>97</v>
      </c>
      <c r="IX12" s="6"/>
      <c r="IY12" s="7" t="s">
        <v>102</v>
      </c>
      <c r="JA12" s="1">
        <v>44196</v>
      </c>
      <c r="JB12" s="6"/>
      <c r="JC12" s="6">
        <v>28498474742.400002</v>
      </c>
      <c r="JD12" s="6">
        <v>2893000000</v>
      </c>
      <c r="JE12" s="6"/>
      <c r="JF12" s="6"/>
      <c r="JG12" s="6"/>
      <c r="JH12" s="6"/>
      <c r="JI12" s="6">
        <v>3074000000</v>
      </c>
      <c r="JJ12" s="6"/>
      <c r="JK12" s="6"/>
      <c r="JL12" s="6"/>
      <c r="JM12" s="6">
        <v>185.4</v>
      </c>
      <c r="JN12" s="6"/>
      <c r="JO12" s="6">
        <v>28498474742.400002</v>
      </c>
      <c r="JP12" s="7" t="s">
        <v>26</v>
      </c>
      <c r="JQ12" s="7" t="s">
        <v>97</v>
      </c>
      <c r="JR12" s="6"/>
      <c r="JS12" s="7" t="s">
        <v>106</v>
      </c>
    </row>
    <row r="13" spans="1:279" x14ac:dyDescent="0.35">
      <c r="A13" s="9">
        <v>44561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>
        <v>60.79</v>
      </c>
      <c r="N13" s="6"/>
      <c r="O13" s="6"/>
      <c r="P13" s="7" t="s">
        <v>26</v>
      </c>
      <c r="Q13" s="7" t="s">
        <v>103</v>
      </c>
      <c r="R13" s="6"/>
      <c r="S13" s="7" t="s">
        <v>104</v>
      </c>
      <c r="U13" s="9">
        <v>44561</v>
      </c>
      <c r="V13" s="6"/>
      <c r="W13" s="6">
        <v>5950251208.3500004</v>
      </c>
      <c r="X13" s="6">
        <v>374200000</v>
      </c>
      <c r="Y13" s="6">
        <v>401200000</v>
      </c>
      <c r="Z13" s="6"/>
      <c r="AA13" s="6"/>
      <c r="AB13" s="6"/>
      <c r="AC13" s="6">
        <v>1006400000</v>
      </c>
      <c r="AD13" s="6"/>
      <c r="AE13" s="6"/>
      <c r="AF13" s="6"/>
      <c r="AG13" s="6">
        <v>20.85</v>
      </c>
      <c r="AH13" s="6"/>
      <c r="AI13" s="6">
        <v>5950251208.3500004</v>
      </c>
      <c r="AJ13" s="7" t="s">
        <v>26</v>
      </c>
      <c r="AK13" s="7" t="s">
        <v>93</v>
      </c>
      <c r="AL13" s="6"/>
      <c r="AM13" s="7" t="s">
        <v>94</v>
      </c>
      <c r="AO13" s="1">
        <v>44561</v>
      </c>
      <c r="AP13" s="6"/>
      <c r="AQ13" s="6">
        <v>1449581948.8079998</v>
      </c>
      <c r="AR13" s="6"/>
      <c r="AS13" s="6"/>
      <c r="AT13" s="6"/>
      <c r="AU13" s="6"/>
      <c r="AV13" s="6"/>
      <c r="AW13" s="6"/>
      <c r="AX13" s="6"/>
      <c r="AY13" s="6"/>
      <c r="AZ13" s="6"/>
      <c r="BA13" s="6">
        <v>32.799999999999997</v>
      </c>
      <c r="BB13" s="6"/>
      <c r="BC13" s="6">
        <v>1449581948.8079998</v>
      </c>
      <c r="BD13" s="7" t="s">
        <v>26</v>
      </c>
      <c r="BE13" s="7" t="s">
        <v>89</v>
      </c>
      <c r="BF13" s="6"/>
      <c r="BG13" s="7" t="s">
        <v>99</v>
      </c>
      <c r="BI13" s="1">
        <v>44561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>
        <v>1.776</v>
      </c>
      <c r="BV13" s="6"/>
      <c r="BW13" s="6"/>
      <c r="BX13" s="7" t="s">
        <v>26</v>
      </c>
      <c r="BY13" s="7" t="s">
        <v>89</v>
      </c>
      <c r="BZ13" s="6"/>
      <c r="CA13" s="7" t="s">
        <v>90</v>
      </c>
      <c r="CC13" s="1">
        <v>44561</v>
      </c>
      <c r="CD13" s="6"/>
      <c r="CE13" s="6">
        <v>3514381926</v>
      </c>
      <c r="CF13" s="6">
        <v>724943000</v>
      </c>
      <c r="CG13" s="6"/>
      <c r="CH13" s="6"/>
      <c r="CI13" s="6"/>
      <c r="CJ13" s="6"/>
      <c r="CK13" s="6">
        <v>326092000</v>
      </c>
      <c r="CL13" s="6"/>
      <c r="CM13" s="6"/>
      <c r="CN13" s="6"/>
      <c r="CO13" s="6">
        <v>33</v>
      </c>
      <c r="CP13" s="6"/>
      <c r="CQ13" s="6">
        <v>3514381926</v>
      </c>
      <c r="CR13" s="7" t="s">
        <v>26</v>
      </c>
      <c r="CS13" s="7" t="s">
        <v>95</v>
      </c>
      <c r="CT13" s="6"/>
      <c r="CU13" s="7" t="s">
        <v>96</v>
      </c>
      <c r="CW13" s="1">
        <v>44561</v>
      </c>
      <c r="CX13" s="6"/>
      <c r="CY13" s="6">
        <v>66606444270.800003</v>
      </c>
      <c r="CZ13" s="6"/>
      <c r="DA13" s="6"/>
      <c r="DB13" s="6"/>
      <c r="DC13" s="6"/>
      <c r="DD13" s="6"/>
      <c r="DE13" s="6"/>
      <c r="DF13" s="6"/>
      <c r="DG13" s="6"/>
      <c r="DH13" s="6"/>
      <c r="DI13" s="6">
        <v>243.8</v>
      </c>
      <c r="DJ13" s="6"/>
      <c r="DK13" s="6">
        <v>66606444270.800003</v>
      </c>
      <c r="DL13" s="7" t="s">
        <v>26</v>
      </c>
      <c r="DM13" s="7" t="s">
        <v>97</v>
      </c>
      <c r="DN13" s="6"/>
      <c r="DO13" s="7" t="s">
        <v>98</v>
      </c>
      <c r="DQ13" s="1">
        <v>44561</v>
      </c>
      <c r="DR13" s="6"/>
      <c r="DS13" s="6">
        <v>2362921389</v>
      </c>
      <c r="DT13" s="6"/>
      <c r="DU13" s="6"/>
      <c r="DV13" s="6"/>
      <c r="DW13" s="6"/>
      <c r="DX13" s="6"/>
      <c r="DY13" s="6"/>
      <c r="DZ13" s="6"/>
      <c r="EA13" s="6"/>
      <c r="EB13" s="6"/>
      <c r="EC13" s="6">
        <v>615</v>
      </c>
      <c r="ED13" s="6"/>
      <c r="EE13" s="6">
        <v>2362921389</v>
      </c>
      <c r="EF13" s="7" t="s">
        <v>26</v>
      </c>
      <c r="EG13" s="7" t="s">
        <v>89</v>
      </c>
      <c r="EH13" s="6"/>
      <c r="EI13" s="7" t="s">
        <v>91</v>
      </c>
      <c r="EK13" s="1">
        <v>44561</v>
      </c>
      <c r="EL13" s="6"/>
      <c r="EM13" s="6">
        <v>4921474059.6300001</v>
      </c>
      <c r="EN13" s="6"/>
      <c r="EO13" s="6"/>
      <c r="EP13" s="6"/>
      <c r="EQ13" s="6"/>
      <c r="ER13" s="6"/>
      <c r="ES13" s="6"/>
      <c r="ET13" s="6"/>
      <c r="EU13" s="6"/>
      <c r="EV13" s="6"/>
      <c r="EW13" s="6">
        <v>531</v>
      </c>
      <c r="EX13" s="6"/>
      <c r="EY13" s="6">
        <v>4921474059.6299992</v>
      </c>
      <c r="EZ13" s="7" t="s">
        <v>26</v>
      </c>
      <c r="FA13" s="7" t="s">
        <v>89</v>
      </c>
      <c r="FB13" s="6"/>
      <c r="FC13" s="7" t="s">
        <v>92</v>
      </c>
      <c r="FE13" s="1">
        <v>44561</v>
      </c>
      <c r="FF13" s="6"/>
      <c r="FG13" s="6">
        <v>270383724.35600001</v>
      </c>
      <c r="FH13" s="6"/>
      <c r="FI13" s="6"/>
      <c r="FJ13" s="6"/>
      <c r="FK13" s="6"/>
      <c r="FL13" s="6"/>
      <c r="FM13" s="6"/>
      <c r="FN13" s="6"/>
      <c r="FO13" s="6"/>
      <c r="FP13" s="6"/>
      <c r="FQ13" s="6">
        <v>88.1</v>
      </c>
      <c r="FR13" s="6"/>
      <c r="FS13" s="6">
        <v>270383724.35599995</v>
      </c>
      <c r="FT13" s="7" t="s">
        <v>26</v>
      </c>
      <c r="FU13" s="7" t="s">
        <v>89</v>
      </c>
      <c r="FV13" s="6"/>
      <c r="FW13" s="7" t="s">
        <v>100</v>
      </c>
      <c r="FY13" s="1">
        <v>44561</v>
      </c>
      <c r="FZ13" s="6"/>
      <c r="GA13" s="6">
        <v>9059454532.8000011</v>
      </c>
      <c r="GB13" s="6"/>
      <c r="GC13" s="6"/>
      <c r="GD13" s="6"/>
      <c r="GE13" s="6"/>
      <c r="GF13" s="6"/>
      <c r="GG13" s="6"/>
      <c r="GH13" s="6"/>
      <c r="GI13" s="6"/>
      <c r="GJ13" s="6"/>
      <c r="GK13" s="6">
        <v>122.9</v>
      </c>
      <c r="GL13" s="6"/>
      <c r="GM13" s="6">
        <v>9059454532.8000011</v>
      </c>
      <c r="GN13" s="7" t="s">
        <v>26</v>
      </c>
      <c r="GO13" s="7" t="s">
        <v>93</v>
      </c>
      <c r="GP13" s="6"/>
      <c r="GQ13" s="7" t="s">
        <v>101</v>
      </c>
      <c r="GS13" s="1">
        <v>44561</v>
      </c>
      <c r="GT13" s="6"/>
      <c r="GU13" s="6">
        <v>689437210</v>
      </c>
      <c r="GV13" s="6"/>
      <c r="GW13" s="6"/>
      <c r="GX13" s="6"/>
      <c r="GY13" s="6"/>
      <c r="GZ13" s="6"/>
      <c r="HA13" s="6"/>
      <c r="HB13" s="6"/>
      <c r="HC13" s="6"/>
      <c r="HD13" s="6"/>
      <c r="HE13" s="6">
        <v>35</v>
      </c>
      <c r="HF13" s="6"/>
      <c r="HG13" s="6">
        <v>689437210</v>
      </c>
      <c r="HH13" s="7" t="s">
        <v>26</v>
      </c>
      <c r="HI13" s="7" t="s">
        <v>103</v>
      </c>
      <c r="HJ13" s="6"/>
      <c r="HK13" s="8"/>
      <c r="HM13" s="1">
        <v>44561</v>
      </c>
      <c r="HN13" s="6"/>
      <c r="HO13" s="6">
        <v>457831336.30000001</v>
      </c>
      <c r="HP13" s="6">
        <v>15332000</v>
      </c>
      <c r="HQ13" s="6"/>
      <c r="HR13" s="6"/>
      <c r="HS13" s="6"/>
      <c r="HT13" s="6"/>
      <c r="HU13" s="6">
        <v>62216000</v>
      </c>
      <c r="HV13" s="6"/>
      <c r="HW13" s="6"/>
      <c r="HX13" s="6"/>
      <c r="HY13" s="6">
        <v>24</v>
      </c>
      <c r="HZ13" s="6"/>
      <c r="IA13" s="6">
        <v>456879504</v>
      </c>
      <c r="IB13" s="7" t="s">
        <v>26</v>
      </c>
      <c r="IC13" s="7" t="s">
        <v>103</v>
      </c>
      <c r="ID13" s="6"/>
      <c r="IE13" s="7" t="s">
        <v>105</v>
      </c>
      <c r="IG13" s="1">
        <v>44561</v>
      </c>
      <c r="IH13" s="6"/>
      <c r="II13" s="6">
        <v>25065092736.600002</v>
      </c>
      <c r="IJ13" s="6"/>
      <c r="IK13" s="6"/>
      <c r="IL13" s="6"/>
      <c r="IM13" s="6"/>
      <c r="IN13" s="6"/>
      <c r="IO13" s="6"/>
      <c r="IP13" s="6"/>
      <c r="IQ13" s="6"/>
      <c r="IR13" s="6"/>
      <c r="IS13" s="6">
        <v>151.55000000000001</v>
      </c>
      <c r="IT13" s="6"/>
      <c r="IU13" s="6">
        <v>25065092736.600002</v>
      </c>
      <c r="IV13" s="7" t="s">
        <v>26</v>
      </c>
      <c r="IW13" s="7" t="s">
        <v>97</v>
      </c>
      <c r="IX13" s="6"/>
      <c r="IY13" s="7" t="s">
        <v>102</v>
      </c>
      <c r="JA13" s="1">
        <v>44561</v>
      </c>
      <c r="JB13" s="6"/>
      <c r="JC13" s="6">
        <v>31572743862.400002</v>
      </c>
      <c r="JD13" s="6"/>
      <c r="JE13" s="6"/>
      <c r="JF13" s="6"/>
      <c r="JG13" s="6"/>
      <c r="JH13" s="6"/>
      <c r="JI13" s="6"/>
      <c r="JJ13" s="6"/>
      <c r="JK13" s="6"/>
      <c r="JL13" s="6"/>
      <c r="JM13" s="6">
        <v>205.4</v>
      </c>
      <c r="JN13" s="6"/>
      <c r="JO13" s="6">
        <v>31572743862.400002</v>
      </c>
      <c r="JP13" s="7" t="s">
        <v>26</v>
      </c>
      <c r="JQ13" s="7" t="s">
        <v>97</v>
      </c>
      <c r="JR13" s="6"/>
      <c r="JS13" s="7" t="s">
        <v>106</v>
      </c>
    </row>
    <row r="14" spans="1:279" x14ac:dyDescent="0.35">
      <c r="A14" s="9">
        <v>44926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>
        <v>48.63</v>
      </c>
      <c r="N14" s="6"/>
      <c r="O14" s="6"/>
      <c r="P14" s="7" t="s">
        <v>26</v>
      </c>
      <c r="Q14" s="7" t="s">
        <v>103</v>
      </c>
      <c r="R14" s="6"/>
      <c r="S14" s="7" t="s">
        <v>104</v>
      </c>
      <c r="U14" s="9">
        <v>44926</v>
      </c>
      <c r="V14" s="6"/>
      <c r="W14" s="6">
        <v>6146187422.0300007</v>
      </c>
      <c r="X14" s="6">
        <v>620200000</v>
      </c>
      <c r="Y14" s="6">
        <v>622600000</v>
      </c>
      <c r="Z14" s="6"/>
      <c r="AA14" s="6"/>
      <c r="AB14" s="6"/>
      <c r="AC14" s="6">
        <v>1162400000</v>
      </c>
      <c r="AD14" s="6"/>
      <c r="AE14" s="6"/>
      <c r="AF14" s="6"/>
      <c r="AG14" s="6">
        <v>21.53</v>
      </c>
      <c r="AH14" s="6"/>
      <c r="AI14" s="6">
        <v>6146833322.0300007</v>
      </c>
      <c r="AJ14" s="7" t="s">
        <v>26</v>
      </c>
      <c r="AK14" s="7" t="s">
        <v>93</v>
      </c>
      <c r="AL14" s="6"/>
      <c r="AM14" s="7" t="s">
        <v>94</v>
      </c>
      <c r="AO14" s="1">
        <v>44926</v>
      </c>
      <c r="AP14" s="6"/>
      <c r="AQ14" s="6">
        <v>1096324112.4919999</v>
      </c>
      <c r="AR14" s="6"/>
      <c r="AS14" s="6"/>
      <c r="AT14" s="6"/>
      <c r="AU14" s="6"/>
      <c r="AV14" s="6"/>
      <c r="AW14" s="6"/>
      <c r="AX14" s="6"/>
      <c r="AY14" s="6"/>
      <c r="AZ14" s="6"/>
      <c r="BA14" s="6">
        <v>23.8</v>
      </c>
      <c r="BB14" s="6"/>
      <c r="BC14" s="6">
        <v>1188708697.6800001</v>
      </c>
      <c r="BD14" s="7" t="s">
        <v>26</v>
      </c>
      <c r="BE14" s="7" t="s">
        <v>89</v>
      </c>
      <c r="BF14" s="6"/>
      <c r="BG14" s="7" t="s">
        <v>99</v>
      </c>
      <c r="BI14" s="1">
        <v>44926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>
        <v>1.776</v>
      </c>
      <c r="BV14" s="6"/>
      <c r="BW14" s="6"/>
      <c r="BX14" s="7" t="s">
        <v>26</v>
      </c>
      <c r="BY14" s="7" t="s">
        <v>89</v>
      </c>
      <c r="BZ14" s="6"/>
      <c r="CA14" s="7" t="s">
        <v>90</v>
      </c>
      <c r="CC14" s="1">
        <v>44926</v>
      </c>
      <c r="CD14" s="6"/>
      <c r="CE14" s="6">
        <v>3019173563.7000003</v>
      </c>
      <c r="CF14" s="6"/>
      <c r="CG14" s="6"/>
      <c r="CH14" s="6"/>
      <c r="CI14" s="6"/>
      <c r="CJ14" s="6"/>
      <c r="CK14" s="6"/>
      <c r="CL14" s="6"/>
      <c r="CM14" s="6"/>
      <c r="CN14" s="6"/>
      <c r="CO14" s="6">
        <v>28.35</v>
      </c>
      <c r="CP14" s="6"/>
      <c r="CQ14" s="6">
        <v>3019173563.7000003</v>
      </c>
      <c r="CR14" s="7" t="s">
        <v>26</v>
      </c>
      <c r="CS14" s="7" t="s">
        <v>95</v>
      </c>
      <c r="CT14" s="6"/>
      <c r="CU14" s="7" t="s">
        <v>96</v>
      </c>
      <c r="CW14" s="1">
        <v>44926</v>
      </c>
      <c r="CX14" s="6"/>
      <c r="CY14" s="6">
        <v>34491647207.5</v>
      </c>
      <c r="CZ14" s="6">
        <v>3844000000</v>
      </c>
      <c r="DA14" s="6"/>
      <c r="DB14" s="6"/>
      <c r="DC14" s="6"/>
      <c r="DD14" s="6"/>
      <c r="DE14" s="6">
        <v>8996000000</v>
      </c>
      <c r="DF14" s="6"/>
      <c r="DG14" s="6"/>
      <c r="DH14" s="6"/>
      <c r="DI14" s="6">
        <v>126.25</v>
      </c>
      <c r="DJ14" s="6"/>
      <c r="DK14" s="6">
        <v>34491647207.5</v>
      </c>
      <c r="DL14" s="7" t="s">
        <v>26</v>
      </c>
      <c r="DM14" s="7" t="s">
        <v>97</v>
      </c>
      <c r="DN14" s="6"/>
      <c r="DO14" s="7" t="s">
        <v>98</v>
      </c>
      <c r="DQ14" s="1">
        <v>44926</v>
      </c>
      <c r="DR14" s="6"/>
      <c r="DS14" s="6">
        <v>1414579042.72</v>
      </c>
      <c r="DT14" s="6"/>
      <c r="DU14" s="6"/>
      <c r="DV14" s="6"/>
      <c r="DW14" s="6"/>
      <c r="DX14" s="6"/>
      <c r="DY14" s="6"/>
      <c r="DZ14" s="6"/>
      <c r="EA14" s="6"/>
      <c r="EB14" s="6"/>
      <c r="EC14" s="6">
        <v>368</v>
      </c>
      <c r="ED14" s="6"/>
      <c r="EE14" s="6">
        <v>1414579042.7200003</v>
      </c>
      <c r="EF14" s="7" t="s">
        <v>26</v>
      </c>
      <c r="EG14" s="7" t="s">
        <v>89</v>
      </c>
      <c r="EH14" s="6"/>
      <c r="EI14" s="7" t="s">
        <v>91</v>
      </c>
      <c r="EK14" s="1">
        <v>44926</v>
      </c>
      <c r="EL14" s="6"/>
      <c r="EM14" s="6">
        <v>3662661006.1620002</v>
      </c>
      <c r="EN14" s="6"/>
      <c r="EO14" s="6"/>
      <c r="EP14" s="6"/>
      <c r="EQ14" s="6"/>
      <c r="ER14" s="6"/>
      <c r="ES14" s="6"/>
      <c r="ET14" s="6"/>
      <c r="EU14" s="6"/>
      <c r="EV14" s="6"/>
      <c r="EW14" s="6">
        <v>395.1</v>
      </c>
      <c r="EX14" s="6"/>
      <c r="EY14" s="6">
        <v>3662661006.1620002</v>
      </c>
      <c r="EZ14" s="7" t="s">
        <v>26</v>
      </c>
      <c r="FA14" s="7" t="s">
        <v>89</v>
      </c>
      <c r="FB14" s="6"/>
      <c r="FC14" s="7" t="s">
        <v>92</v>
      </c>
      <c r="FE14" s="1">
        <v>44926</v>
      </c>
      <c r="FF14" s="6"/>
      <c r="FG14" s="6">
        <v>241643086.62</v>
      </c>
      <c r="FH14" s="6"/>
      <c r="FI14" s="6"/>
      <c r="FJ14" s="6"/>
      <c r="FK14" s="6"/>
      <c r="FL14" s="6"/>
      <c r="FM14" s="6"/>
      <c r="FN14" s="6"/>
      <c r="FO14" s="6"/>
      <c r="FP14" s="6"/>
      <c r="FQ14" s="6">
        <v>78</v>
      </c>
      <c r="FR14" s="6"/>
      <c r="FS14" s="6">
        <v>241643086.62</v>
      </c>
      <c r="FT14" s="7" t="s">
        <v>26</v>
      </c>
      <c r="FU14" s="7" t="s">
        <v>89</v>
      </c>
      <c r="FV14" s="6"/>
      <c r="FW14" s="7" t="s">
        <v>100</v>
      </c>
      <c r="FY14" s="1">
        <v>44926</v>
      </c>
      <c r="FZ14" s="6"/>
      <c r="GA14" s="6">
        <v>7016095150.9000006</v>
      </c>
      <c r="GB14" s="6"/>
      <c r="GC14" s="6"/>
      <c r="GD14" s="6"/>
      <c r="GE14" s="6"/>
      <c r="GF14" s="6"/>
      <c r="GG14" s="6"/>
      <c r="GH14" s="6"/>
      <c r="GI14" s="6"/>
      <c r="GJ14" s="6"/>
      <c r="GK14" s="6">
        <v>95.15</v>
      </c>
      <c r="GL14" s="6"/>
      <c r="GM14" s="6">
        <v>7022312442.2000008</v>
      </c>
      <c r="GN14" s="7" t="s">
        <v>26</v>
      </c>
      <c r="GO14" s="7" t="s">
        <v>93</v>
      </c>
      <c r="GP14" s="6"/>
      <c r="GQ14" s="7" t="s">
        <v>101</v>
      </c>
      <c r="GS14" s="1">
        <v>44926</v>
      </c>
      <c r="GT14" s="6"/>
      <c r="GU14" s="6">
        <v>466261080</v>
      </c>
      <c r="GV14" s="6"/>
      <c r="GW14" s="6"/>
      <c r="GX14" s="6"/>
      <c r="GY14" s="6"/>
      <c r="GZ14" s="6"/>
      <c r="HA14" s="6"/>
      <c r="HB14" s="6"/>
      <c r="HC14" s="6"/>
      <c r="HD14" s="6"/>
      <c r="HE14" s="6">
        <v>23.25</v>
      </c>
      <c r="HF14" s="6"/>
      <c r="HG14" s="6">
        <v>466261080</v>
      </c>
      <c r="HH14" s="7" t="s">
        <v>26</v>
      </c>
      <c r="HI14" s="7" t="s">
        <v>103</v>
      </c>
      <c r="HJ14" s="6"/>
      <c r="HK14" s="8"/>
      <c r="HM14" s="1">
        <v>44926</v>
      </c>
      <c r="HN14" s="6"/>
      <c r="HO14" s="6">
        <v>403576895.19999999</v>
      </c>
      <c r="HP14" s="6">
        <v>37575000</v>
      </c>
      <c r="HQ14" s="6"/>
      <c r="HR14" s="6"/>
      <c r="HS14" s="6"/>
      <c r="HT14" s="6"/>
      <c r="HU14" s="6">
        <v>66377000</v>
      </c>
      <c r="HV14" s="6"/>
      <c r="HW14" s="6"/>
      <c r="HX14" s="6"/>
      <c r="HY14" s="6">
        <v>21.15</v>
      </c>
      <c r="HZ14" s="6"/>
      <c r="IA14" s="6">
        <v>402625062.89999998</v>
      </c>
      <c r="IB14" s="7" t="s">
        <v>26</v>
      </c>
      <c r="IC14" s="7" t="s">
        <v>103</v>
      </c>
      <c r="ID14" s="6"/>
      <c r="IE14" s="7" t="s">
        <v>105</v>
      </c>
      <c r="IG14" s="1">
        <v>44926</v>
      </c>
      <c r="IH14" s="6"/>
      <c r="II14" s="6">
        <v>14670232436.4</v>
      </c>
      <c r="IJ14" s="6"/>
      <c r="IK14" s="6"/>
      <c r="IL14" s="6"/>
      <c r="IM14" s="6"/>
      <c r="IN14" s="6"/>
      <c r="IO14" s="6"/>
      <c r="IP14" s="6"/>
      <c r="IQ14" s="6"/>
      <c r="IR14" s="6"/>
      <c r="IS14" s="6">
        <v>88.7</v>
      </c>
      <c r="IT14" s="6"/>
      <c r="IU14" s="6">
        <v>14670232436.4</v>
      </c>
      <c r="IV14" s="7" t="s">
        <v>26</v>
      </c>
      <c r="IW14" s="7" t="s">
        <v>97</v>
      </c>
      <c r="IX14" s="6"/>
      <c r="IY14" s="7" t="s">
        <v>102</v>
      </c>
      <c r="JA14" s="1">
        <v>44926</v>
      </c>
      <c r="JB14" s="6"/>
      <c r="JC14" s="6">
        <v>12066506296</v>
      </c>
      <c r="JD14" s="6"/>
      <c r="JE14" s="6"/>
      <c r="JF14" s="6"/>
      <c r="JG14" s="6"/>
      <c r="JH14" s="6"/>
      <c r="JI14" s="6"/>
      <c r="JJ14" s="6"/>
      <c r="JK14" s="6"/>
      <c r="JL14" s="6"/>
      <c r="JM14" s="6">
        <v>78.5</v>
      </c>
      <c r="JN14" s="6"/>
      <c r="JO14" s="6">
        <v>12066506296</v>
      </c>
      <c r="JP14" s="7" t="s">
        <v>26</v>
      </c>
      <c r="JQ14" s="7" t="s">
        <v>97</v>
      </c>
      <c r="JR14" s="6"/>
      <c r="JS14" s="7" t="s">
        <v>106</v>
      </c>
    </row>
    <row r="15" spans="1:279" x14ac:dyDescent="0.35">
      <c r="A15" s="9">
        <v>45291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>
        <v>48.02</v>
      </c>
      <c r="N15" s="6"/>
      <c r="O15" s="6"/>
      <c r="P15" s="7" t="s">
        <v>26</v>
      </c>
      <c r="Q15" s="7" t="s">
        <v>103</v>
      </c>
      <c r="R15" s="6"/>
      <c r="S15" s="7" t="s">
        <v>104</v>
      </c>
      <c r="U15" s="9">
        <v>45291</v>
      </c>
      <c r="V15" s="6"/>
      <c r="W15" s="6">
        <v>7046161002.6800003</v>
      </c>
      <c r="X15" s="6">
        <v>409100000</v>
      </c>
      <c r="Y15" s="6">
        <v>394100000</v>
      </c>
      <c r="Z15" s="6"/>
      <c r="AA15" s="6"/>
      <c r="AB15" s="6"/>
      <c r="AC15" s="6">
        <v>1155100000</v>
      </c>
      <c r="AD15" s="6"/>
      <c r="AE15" s="6"/>
      <c r="AF15" s="6"/>
      <c r="AG15" s="6">
        <v>24.68</v>
      </c>
      <c r="AH15" s="6"/>
      <c r="AI15" s="6">
        <v>7048253373.0799999</v>
      </c>
      <c r="AJ15" s="7" t="s">
        <v>26</v>
      </c>
      <c r="AK15" s="7" t="s">
        <v>93</v>
      </c>
      <c r="AL15" s="6"/>
      <c r="AM15" s="7" t="s">
        <v>94</v>
      </c>
      <c r="AO15" s="1">
        <v>45291</v>
      </c>
      <c r="AP15" s="6"/>
      <c r="AQ15" s="6">
        <v>1418459118.24</v>
      </c>
      <c r="AR15" s="6"/>
      <c r="AS15" s="6"/>
      <c r="AT15" s="6"/>
      <c r="AU15" s="6"/>
      <c r="AV15" s="6"/>
      <c r="AW15" s="6"/>
      <c r="AX15" s="6"/>
      <c r="AY15" s="6"/>
      <c r="AZ15" s="6"/>
      <c r="BA15" s="6">
        <v>28.4</v>
      </c>
      <c r="BB15" s="6"/>
      <c r="BC15" s="6">
        <v>1418459118.2399998</v>
      </c>
      <c r="BD15" s="7" t="s">
        <v>26</v>
      </c>
      <c r="BE15" s="7" t="s">
        <v>89</v>
      </c>
      <c r="BF15" s="6"/>
      <c r="BG15" s="7" t="s">
        <v>99</v>
      </c>
      <c r="BI15" s="1">
        <v>45291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>
        <v>1.776</v>
      </c>
      <c r="BV15" s="6"/>
      <c r="BW15" s="6"/>
      <c r="BX15" s="7" t="s">
        <v>26</v>
      </c>
      <c r="BY15" s="7" t="s">
        <v>89</v>
      </c>
      <c r="BZ15" s="6"/>
      <c r="CA15" s="7" t="s">
        <v>90</v>
      </c>
      <c r="CC15" s="1">
        <v>45291</v>
      </c>
      <c r="CD15" s="6"/>
      <c r="CE15" s="6">
        <v>3455808893.9000001</v>
      </c>
      <c r="CF15" s="6"/>
      <c r="CG15" s="6"/>
      <c r="CH15" s="6"/>
      <c r="CI15" s="6"/>
      <c r="CJ15" s="6"/>
      <c r="CK15" s="6"/>
      <c r="CL15" s="6"/>
      <c r="CM15" s="6"/>
      <c r="CN15" s="6"/>
      <c r="CO15" s="6">
        <v>32.450000000000003</v>
      </c>
      <c r="CP15" s="6"/>
      <c r="CQ15" s="6">
        <v>3455808893.9000001</v>
      </c>
      <c r="CR15" s="7" t="s">
        <v>26</v>
      </c>
      <c r="CS15" s="7" t="s">
        <v>95</v>
      </c>
      <c r="CT15" s="6"/>
      <c r="CU15" s="7" t="s">
        <v>96</v>
      </c>
      <c r="CW15" s="1">
        <v>45291</v>
      </c>
      <c r="CX15" s="6"/>
      <c r="CY15" s="6">
        <v>39149727087.800003</v>
      </c>
      <c r="CZ15" s="6">
        <v>-12373000000</v>
      </c>
      <c r="DA15" s="6"/>
      <c r="DB15" s="6"/>
      <c r="DC15" s="6"/>
      <c r="DD15" s="6"/>
      <c r="DE15" s="6">
        <v>9806000000</v>
      </c>
      <c r="DF15" s="6"/>
      <c r="DG15" s="6"/>
      <c r="DH15" s="6"/>
      <c r="DI15" s="6">
        <v>143.30000000000001</v>
      </c>
      <c r="DJ15" s="6"/>
      <c r="DK15" s="6">
        <v>39149727087.800003</v>
      </c>
      <c r="DL15" s="7" t="s">
        <v>26</v>
      </c>
      <c r="DM15" s="7" t="s">
        <v>97</v>
      </c>
      <c r="DN15" s="6"/>
      <c r="DO15" s="7" t="s">
        <v>98</v>
      </c>
      <c r="DQ15" s="1">
        <v>45291</v>
      </c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>
        <v>421.6</v>
      </c>
      <c r="ED15" s="6"/>
      <c r="EE15" s="6"/>
      <c r="EF15" s="7" t="s">
        <v>26</v>
      </c>
      <c r="EG15" s="7" t="s">
        <v>89</v>
      </c>
      <c r="EH15" s="6"/>
      <c r="EI15" s="7" t="s">
        <v>91</v>
      </c>
      <c r="EK15" s="1">
        <v>45291</v>
      </c>
      <c r="EL15" s="6"/>
      <c r="EM15" s="6">
        <v>3705466708.1160002</v>
      </c>
      <c r="EN15" s="6"/>
      <c r="EO15" s="6"/>
      <c r="EP15" s="6"/>
      <c r="EQ15" s="6"/>
      <c r="ER15" s="6"/>
      <c r="ES15" s="6"/>
      <c r="ET15" s="6"/>
      <c r="EU15" s="6"/>
      <c r="EV15" s="6"/>
      <c r="EW15" s="6">
        <v>399.6</v>
      </c>
      <c r="EX15" s="6"/>
      <c r="EY15" s="6">
        <v>3705466708.1160002</v>
      </c>
      <c r="EZ15" s="7" t="s">
        <v>26</v>
      </c>
      <c r="FA15" s="7" t="s">
        <v>89</v>
      </c>
      <c r="FB15" s="6"/>
      <c r="FC15" s="7" t="s">
        <v>92</v>
      </c>
      <c r="FE15" s="1">
        <v>45291</v>
      </c>
      <c r="FF15" s="6"/>
      <c r="FG15" s="6">
        <v>256727968.07399997</v>
      </c>
      <c r="FH15" s="6"/>
      <c r="FI15" s="6"/>
      <c r="FJ15" s="6"/>
      <c r="FK15" s="6"/>
      <c r="FL15" s="6"/>
      <c r="FM15" s="6"/>
      <c r="FN15" s="6"/>
      <c r="FO15" s="6"/>
      <c r="FP15" s="6"/>
      <c r="FQ15" s="6">
        <v>82.3</v>
      </c>
      <c r="FR15" s="6"/>
      <c r="FS15" s="6">
        <v>256727968.07399997</v>
      </c>
      <c r="FT15" s="7" t="s">
        <v>26</v>
      </c>
      <c r="FU15" s="7" t="s">
        <v>89</v>
      </c>
      <c r="FV15" s="6"/>
      <c r="FW15" s="7" t="s">
        <v>100</v>
      </c>
      <c r="FY15" s="1">
        <v>45291</v>
      </c>
      <c r="FZ15" s="6"/>
      <c r="GA15" s="6">
        <v>8129008675.7999992</v>
      </c>
      <c r="GB15" s="6"/>
      <c r="GC15" s="6"/>
      <c r="GD15" s="6"/>
      <c r="GE15" s="6"/>
      <c r="GF15" s="6"/>
      <c r="GG15" s="6"/>
      <c r="GH15" s="6"/>
      <c r="GI15" s="6"/>
      <c r="GJ15" s="6"/>
      <c r="GK15" s="6">
        <v>110.1</v>
      </c>
      <c r="GL15" s="6"/>
      <c r="GM15" s="6">
        <v>8134212992.6999998</v>
      </c>
      <c r="GN15" s="7" t="s">
        <v>26</v>
      </c>
      <c r="GO15" s="7" t="s">
        <v>93</v>
      </c>
      <c r="GP15" s="6"/>
      <c r="GQ15" s="7" t="s">
        <v>101</v>
      </c>
      <c r="GS15" s="1">
        <v>45291</v>
      </c>
      <c r="GT15" s="6"/>
      <c r="GU15" s="6">
        <v>378111945.96000004</v>
      </c>
      <c r="GV15" s="6"/>
      <c r="GW15" s="6"/>
      <c r="GX15" s="6"/>
      <c r="GY15" s="6"/>
      <c r="GZ15" s="6"/>
      <c r="HA15" s="6"/>
      <c r="HB15" s="6"/>
      <c r="HC15" s="6"/>
      <c r="HD15" s="6"/>
      <c r="HE15" s="6">
        <v>18.760000000000002</v>
      </c>
      <c r="HF15" s="6"/>
      <c r="HG15" s="6">
        <v>378111945.96000004</v>
      </c>
      <c r="HH15" s="7" t="s">
        <v>26</v>
      </c>
      <c r="HI15" s="7" t="s">
        <v>103</v>
      </c>
      <c r="HJ15" s="6"/>
      <c r="HK15" s="8"/>
      <c r="HM15" s="1">
        <v>45291</v>
      </c>
      <c r="HN15" s="6"/>
      <c r="HO15" s="6">
        <v>384540249.19999999</v>
      </c>
      <c r="HP15" s="6">
        <v>-14214000</v>
      </c>
      <c r="HQ15" s="6"/>
      <c r="HR15" s="6"/>
      <c r="HS15" s="6"/>
      <c r="HT15" s="6"/>
      <c r="HU15" s="6">
        <v>72138000</v>
      </c>
      <c r="HV15" s="6"/>
      <c r="HW15" s="6"/>
      <c r="HX15" s="6"/>
      <c r="HY15" s="6">
        <v>20.100000000000001</v>
      </c>
      <c r="HZ15" s="6"/>
      <c r="IA15" s="6">
        <v>382636584.60000002</v>
      </c>
      <c r="IB15" s="7" t="s">
        <v>26</v>
      </c>
      <c r="IC15" s="7" t="s">
        <v>103</v>
      </c>
      <c r="ID15" s="6"/>
      <c r="IE15" s="7" t="s">
        <v>105</v>
      </c>
      <c r="IG15" s="1">
        <v>45291</v>
      </c>
      <c r="IH15" s="6"/>
      <c r="II15" s="6">
        <v>17895368090.400002</v>
      </c>
      <c r="IJ15" s="6"/>
      <c r="IK15" s="6"/>
      <c r="IL15" s="6"/>
      <c r="IM15" s="6"/>
      <c r="IN15" s="6"/>
      <c r="IO15" s="6"/>
      <c r="IP15" s="6"/>
      <c r="IQ15" s="6"/>
      <c r="IR15" s="6"/>
      <c r="IS15" s="6">
        <v>108.2</v>
      </c>
      <c r="IT15" s="6"/>
      <c r="IU15" s="6">
        <v>17895368090.400002</v>
      </c>
      <c r="IV15" s="7" t="s">
        <v>26</v>
      </c>
      <c r="IW15" s="7" t="s">
        <v>97</v>
      </c>
      <c r="IX15" s="6"/>
      <c r="IY15" s="7" t="s">
        <v>102</v>
      </c>
      <c r="JA15" s="1">
        <v>45291</v>
      </c>
      <c r="JB15" s="6"/>
      <c r="JC15" s="6">
        <v>14487493228</v>
      </c>
      <c r="JD15" s="6">
        <v>934000000</v>
      </c>
      <c r="JE15" s="6"/>
      <c r="JF15" s="6"/>
      <c r="JG15" s="6"/>
      <c r="JH15" s="6"/>
      <c r="JI15" s="6">
        <v>3881000000</v>
      </c>
      <c r="JJ15" s="6"/>
      <c r="JK15" s="6"/>
      <c r="JL15" s="6"/>
      <c r="JM15" s="6">
        <v>94.25</v>
      </c>
      <c r="JN15" s="6"/>
      <c r="JO15" s="6">
        <v>14487493228</v>
      </c>
      <c r="JP15" s="7" t="s">
        <v>26</v>
      </c>
      <c r="JQ15" s="7" t="s">
        <v>97</v>
      </c>
      <c r="JR15" s="6"/>
      <c r="JS15" s="7" t="s">
        <v>106</v>
      </c>
    </row>
    <row r="16" spans="1:279" x14ac:dyDescent="0.35">
      <c r="A16" s="9">
        <v>45657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>
        <v>48.02</v>
      </c>
      <c r="N16" s="6"/>
      <c r="O16" s="6"/>
      <c r="P16" s="7" t="s">
        <v>26</v>
      </c>
      <c r="Q16" s="7" t="s">
        <v>103</v>
      </c>
      <c r="R16" s="6"/>
      <c r="S16" s="7" t="s">
        <v>104</v>
      </c>
      <c r="U16" s="9">
        <v>45657</v>
      </c>
      <c r="V16" s="6"/>
      <c r="W16" s="6">
        <v>7974740581.6000004</v>
      </c>
      <c r="X16" s="6">
        <v>1597600000</v>
      </c>
      <c r="Y16" s="6">
        <v>1602000000</v>
      </c>
      <c r="Z16" s="6"/>
      <c r="AA16" s="6"/>
      <c r="AB16" s="6"/>
      <c r="AC16" s="6">
        <v>1233100000</v>
      </c>
      <c r="AD16" s="6"/>
      <c r="AE16" s="6"/>
      <c r="AF16" s="6"/>
      <c r="AG16" s="6">
        <v>27.8</v>
      </c>
      <c r="AH16" s="6"/>
      <c r="AI16" s="6">
        <v>7974740581.6000004</v>
      </c>
      <c r="AJ16" s="7" t="s">
        <v>26</v>
      </c>
      <c r="AK16" s="7" t="s">
        <v>93</v>
      </c>
      <c r="AL16" s="6"/>
      <c r="AM16" s="7" t="s">
        <v>94</v>
      </c>
      <c r="AO16" s="1">
        <v>45657</v>
      </c>
      <c r="AP16" s="6"/>
      <c r="AQ16" s="6">
        <v>1375345753.9080002</v>
      </c>
      <c r="AR16" s="6"/>
      <c r="AS16" s="6"/>
      <c r="AT16" s="6"/>
      <c r="AU16" s="6"/>
      <c r="AV16" s="6"/>
      <c r="AW16" s="6"/>
      <c r="AX16" s="6"/>
      <c r="AY16" s="6"/>
      <c r="AZ16" s="6"/>
      <c r="BA16" s="6">
        <v>279.60000000000002</v>
      </c>
      <c r="BB16" s="6"/>
      <c r="BC16" s="6">
        <v>1375345753.9080002</v>
      </c>
      <c r="BD16" s="7" t="s">
        <v>26</v>
      </c>
      <c r="BE16" s="7" t="s">
        <v>89</v>
      </c>
      <c r="BF16" s="6"/>
      <c r="BG16" s="7" t="s">
        <v>99</v>
      </c>
      <c r="BI16" s="1">
        <v>45657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>
        <v>1.776</v>
      </c>
      <c r="BV16" s="6"/>
      <c r="BW16" s="6"/>
      <c r="BX16" s="7" t="s">
        <v>26</v>
      </c>
      <c r="BY16" s="7" t="s">
        <v>89</v>
      </c>
      <c r="BZ16" s="6"/>
      <c r="CA16" s="7" t="s">
        <v>90</v>
      </c>
      <c r="CC16" s="1">
        <v>45657</v>
      </c>
      <c r="CD16" s="6"/>
      <c r="CE16" s="6">
        <v>2483496561.04</v>
      </c>
      <c r="CF16" s="6"/>
      <c r="CG16" s="6"/>
      <c r="CH16" s="6"/>
      <c r="CI16" s="6"/>
      <c r="CJ16" s="6"/>
      <c r="CK16" s="6"/>
      <c r="CL16" s="6"/>
      <c r="CM16" s="6"/>
      <c r="CN16" s="6"/>
      <c r="CO16" s="6">
        <v>23.32</v>
      </c>
      <c r="CP16" s="6"/>
      <c r="CQ16" s="6">
        <v>2483496561.04</v>
      </c>
      <c r="CR16" s="7" t="s">
        <v>26</v>
      </c>
      <c r="CS16" s="7" t="s">
        <v>95</v>
      </c>
      <c r="CT16" s="6"/>
      <c r="CU16" s="7" t="s">
        <v>96</v>
      </c>
      <c r="CW16" s="1">
        <v>45657</v>
      </c>
      <c r="CX16" s="6"/>
      <c r="CY16" s="6">
        <v>32934400561.299999</v>
      </c>
      <c r="CZ16" s="6">
        <v>4916000000</v>
      </c>
      <c r="DA16" s="6"/>
      <c r="DB16" s="6"/>
      <c r="DC16" s="6"/>
      <c r="DD16" s="6"/>
      <c r="DE16" s="6">
        <v>9849000000</v>
      </c>
      <c r="DF16" s="6"/>
      <c r="DG16" s="6"/>
      <c r="DH16" s="6"/>
      <c r="DI16" s="6">
        <v>120.55</v>
      </c>
      <c r="DJ16" s="6"/>
      <c r="DK16" s="6">
        <v>32934400561.299999</v>
      </c>
      <c r="DL16" s="7" t="s">
        <v>26</v>
      </c>
      <c r="DM16" s="7" t="s">
        <v>97</v>
      </c>
      <c r="DN16" s="6"/>
      <c r="DO16" s="7" t="s">
        <v>98</v>
      </c>
      <c r="DQ16" s="1">
        <v>45657</v>
      </c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>
        <v>421.6</v>
      </c>
      <c r="ED16" s="6"/>
      <c r="EE16" s="6"/>
      <c r="EF16" s="7" t="s">
        <v>26</v>
      </c>
      <c r="EG16" s="7" t="s">
        <v>89</v>
      </c>
      <c r="EH16" s="6"/>
      <c r="EI16" s="7" t="s">
        <v>91</v>
      </c>
      <c r="EK16" s="1">
        <v>45657</v>
      </c>
      <c r="EL16" s="6"/>
      <c r="EM16" s="6">
        <v>3600927435.0279999</v>
      </c>
      <c r="EN16" s="6"/>
      <c r="EO16" s="6"/>
      <c r="EP16" s="6"/>
      <c r="EQ16" s="6"/>
      <c r="ER16" s="6"/>
      <c r="ES16" s="6"/>
      <c r="ET16" s="6"/>
      <c r="EU16" s="6"/>
      <c r="EV16" s="6"/>
      <c r="EW16" s="6">
        <v>360.4</v>
      </c>
      <c r="EX16" s="6"/>
      <c r="EY16" s="6">
        <v>3600927435.0279999</v>
      </c>
      <c r="EZ16" s="7" t="s">
        <v>26</v>
      </c>
      <c r="FA16" s="7" t="s">
        <v>89</v>
      </c>
      <c r="FB16" s="6"/>
      <c r="FC16" s="7" t="s">
        <v>92</v>
      </c>
      <c r="FE16" s="1">
        <v>45657</v>
      </c>
      <c r="FF16" s="6"/>
      <c r="FG16" s="6">
        <v>275444015.43899995</v>
      </c>
      <c r="FH16" s="6"/>
      <c r="FI16" s="6"/>
      <c r="FJ16" s="6"/>
      <c r="FK16" s="6"/>
      <c r="FL16" s="6"/>
      <c r="FM16" s="6"/>
      <c r="FN16" s="6"/>
      <c r="FO16" s="6"/>
      <c r="FP16" s="6"/>
      <c r="FQ16" s="6">
        <v>73.3</v>
      </c>
      <c r="FR16" s="6"/>
      <c r="FS16" s="6">
        <v>275444015.43899995</v>
      </c>
      <c r="FT16" s="7" t="s">
        <v>26</v>
      </c>
      <c r="FU16" s="7" t="s">
        <v>89</v>
      </c>
      <c r="FV16" s="6"/>
      <c r="FW16" s="7" t="s">
        <v>100</v>
      </c>
      <c r="FY16" s="1">
        <v>45657</v>
      </c>
      <c r="FZ16" s="6"/>
      <c r="GA16" s="6">
        <v>6607424905.25</v>
      </c>
      <c r="GB16" s="6"/>
      <c r="GC16" s="6"/>
      <c r="GD16" s="6"/>
      <c r="GE16" s="6"/>
      <c r="GF16" s="6"/>
      <c r="GG16" s="6"/>
      <c r="GH16" s="6"/>
      <c r="GI16" s="6"/>
      <c r="GJ16" s="6"/>
      <c r="GK16" s="6">
        <v>89.35</v>
      </c>
      <c r="GL16" s="6"/>
      <c r="GM16" s="6">
        <v>6607424905.25</v>
      </c>
      <c r="GN16" s="7" t="s">
        <v>26</v>
      </c>
      <c r="GO16" s="7" t="s">
        <v>93</v>
      </c>
      <c r="GP16" s="6"/>
      <c r="GQ16" s="7" t="s">
        <v>101</v>
      </c>
      <c r="GS16" s="1">
        <v>45657</v>
      </c>
      <c r="GT16" s="6"/>
      <c r="GU16" s="6">
        <v>381336781.32000005</v>
      </c>
      <c r="GV16" s="6"/>
      <c r="GW16" s="6"/>
      <c r="GX16" s="6"/>
      <c r="GY16" s="6"/>
      <c r="GZ16" s="6"/>
      <c r="HA16" s="6"/>
      <c r="HB16" s="6"/>
      <c r="HC16" s="6"/>
      <c r="HD16" s="6"/>
      <c r="HE16" s="6">
        <v>18.920000000000002</v>
      </c>
      <c r="HF16" s="6"/>
      <c r="HG16" s="6">
        <v>381336781.32000005</v>
      </c>
      <c r="HH16" s="7" t="s">
        <v>26</v>
      </c>
      <c r="HI16" s="7" t="s">
        <v>103</v>
      </c>
      <c r="HJ16" s="6"/>
      <c r="HK16" s="8"/>
      <c r="HM16" s="1">
        <v>45657</v>
      </c>
      <c r="HN16" s="6"/>
      <c r="HO16" s="6">
        <v>414522966.64999998</v>
      </c>
      <c r="HP16" s="6"/>
      <c r="HQ16" s="6"/>
      <c r="HR16" s="6"/>
      <c r="HS16" s="6"/>
      <c r="HT16" s="6"/>
      <c r="HU16" s="6"/>
      <c r="HV16" s="6"/>
      <c r="HW16" s="6"/>
      <c r="HX16" s="6"/>
      <c r="HY16" s="6">
        <v>21.4</v>
      </c>
      <c r="HZ16" s="6"/>
      <c r="IA16" s="6">
        <v>407384224.39999998</v>
      </c>
      <c r="IB16" s="7" t="s">
        <v>26</v>
      </c>
      <c r="IC16" s="7" t="s">
        <v>103</v>
      </c>
      <c r="ID16" s="6"/>
      <c r="IE16" s="7" t="s">
        <v>105</v>
      </c>
      <c r="IG16" s="1">
        <v>45657</v>
      </c>
      <c r="IH16" s="6"/>
      <c r="II16" s="6">
        <v>13694422161.6</v>
      </c>
      <c r="IJ16" s="6"/>
      <c r="IK16" s="6"/>
      <c r="IL16" s="6"/>
      <c r="IM16" s="6"/>
      <c r="IN16" s="6"/>
      <c r="IO16" s="6"/>
      <c r="IP16" s="6"/>
      <c r="IQ16" s="6"/>
      <c r="IR16" s="6"/>
      <c r="IS16" s="6">
        <v>82.8</v>
      </c>
      <c r="IT16" s="6"/>
      <c r="IU16" s="6">
        <v>13694422161.6</v>
      </c>
      <c r="IV16" s="7" t="s">
        <v>26</v>
      </c>
      <c r="IW16" s="7" t="s">
        <v>97</v>
      </c>
      <c r="IX16" s="6"/>
      <c r="IY16" s="7" t="s">
        <v>102</v>
      </c>
      <c r="JA16" s="1">
        <v>45657</v>
      </c>
      <c r="JB16" s="6"/>
      <c r="JC16" s="6">
        <v>16109170188.799999</v>
      </c>
      <c r="JD16" s="6">
        <v>3365000000</v>
      </c>
      <c r="JE16" s="6"/>
      <c r="JF16" s="6"/>
      <c r="JG16" s="6"/>
      <c r="JH16" s="6"/>
      <c r="JI16" s="6">
        <v>4174000000</v>
      </c>
      <c r="JJ16" s="6"/>
      <c r="JK16" s="6"/>
      <c r="JL16" s="6"/>
      <c r="JM16" s="6">
        <v>104.8</v>
      </c>
      <c r="JN16" s="6"/>
      <c r="JO16" s="6">
        <v>16109170188.799999</v>
      </c>
      <c r="JP16" s="7" t="s">
        <v>26</v>
      </c>
      <c r="JQ16" s="7" t="s">
        <v>97</v>
      </c>
      <c r="JR16" s="6"/>
      <c r="JS16" s="7" t="s">
        <v>106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16"/>
  <sheetViews>
    <sheetView topLeftCell="B1" workbookViewId="0">
      <selection activeCell="T24" sqref="T24"/>
    </sheetView>
  </sheetViews>
  <sheetFormatPr defaultColWidth="8.81640625" defaultRowHeight="14.5" x14ac:dyDescent="0.35"/>
  <cols>
    <col min="1" max="1" width="10.1796875" bestFit="1" customWidth="1"/>
    <col min="21" max="21" width="10.1796875" bestFit="1" customWidth="1"/>
  </cols>
  <sheetData>
    <row r="1" spans="1:99" x14ac:dyDescent="0.35">
      <c r="A1" s="2" t="s">
        <v>0</v>
      </c>
      <c r="B1" s="3" t="s">
        <v>107</v>
      </c>
      <c r="U1" s="2" t="s">
        <v>0</v>
      </c>
      <c r="V1" s="3" t="s">
        <v>108</v>
      </c>
      <c r="AO1" s="2" t="s">
        <v>0</v>
      </c>
      <c r="AP1" s="3" t="s">
        <v>109</v>
      </c>
      <c r="BI1" s="2" t="s">
        <v>0</v>
      </c>
      <c r="BJ1" s="3" t="s">
        <v>110</v>
      </c>
      <c r="CC1" s="2" t="s">
        <v>0</v>
      </c>
      <c r="CD1" s="3" t="s">
        <v>111</v>
      </c>
    </row>
    <row r="2" spans="1:99" ht="188.5" x14ac:dyDescent="0.35">
      <c r="A2" s="4" t="s">
        <v>1</v>
      </c>
      <c r="B2" s="5" t="s">
        <v>3</v>
      </c>
      <c r="C2" s="5" t="s">
        <v>4</v>
      </c>
      <c r="D2" s="5" t="s">
        <v>5</v>
      </c>
      <c r="E2" s="5" t="s">
        <v>49</v>
      </c>
      <c r="F2" s="5" t="s">
        <v>6</v>
      </c>
      <c r="G2" s="4" t="s">
        <v>54</v>
      </c>
      <c r="H2" s="4" t="s">
        <v>55</v>
      </c>
      <c r="I2" s="5" t="s">
        <v>7</v>
      </c>
      <c r="J2" s="5" t="s">
        <v>8</v>
      </c>
      <c r="K2" s="5" t="s">
        <v>9</v>
      </c>
      <c r="L2" s="5" t="s">
        <v>10</v>
      </c>
      <c r="M2" s="4" t="s">
        <v>47</v>
      </c>
      <c r="N2" s="5" t="s">
        <v>46</v>
      </c>
      <c r="O2" s="5" t="s">
        <v>48</v>
      </c>
      <c r="P2" s="5" t="s">
        <v>30</v>
      </c>
      <c r="Q2" s="4" t="s">
        <v>11</v>
      </c>
      <c r="R2" s="4" t="s">
        <v>24</v>
      </c>
      <c r="S2" s="4" t="s">
        <v>31</v>
      </c>
      <c r="U2" s="4" t="s">
        <v>1</v>
      </c>
      <c r="V2" s="5" t="s">
        <v>3</v>
      </c>
      <c r="W2" s="5" t="s">
        <v>4</v>
      </c>
      <c r="X2" s="5" t="s">
        <v>5</v>
      </c>
      <c r="Y2" s="5" t="s">
        <v>49</v>
      </c>
      <c r="Z2" s="5" t="s">
        <v>6</v>
      </c>
      <c r="AA2" s="4" t="s">
        <v>54</v>
      </c>
      <c r="AB2" s="4" t="s">
        <v>55</v>
      </c>
      <c r="AC2" s="5" t="s">
        <v>7</v>
      </c>
      <c r="AD2" s="5" t="s">
        <v>8</v>
      </c>
      <c r="AE2" s="5" t="s">
        <v>9</v>
      </c>
      <c r="AF2" s="5" t="s">
        <v>10</v>
      </c>
      <c r="AG2" s="4" t="s">
        <v>47</v>
      </c>
      <c r="AH2" s="5" t="s">
        <v>46</v>
      </c>
      <c r="AI2" s="5" t="s">
        <v>48</v>
      </c>
      <c r="AJ2" s="5" t="s">
        <v>30</v>
      </c>
      <c r="AK2" s="4" t="s">
        <v>11</v>
      </c>
      <c r="AL2" s="4" t="s">
        <v>24</v>
      </c>
      <c r="AM2" s="4" t="s">
        <v>31</v>
      </c>
      <c r="AO2" s="4" t="s">
        <v>1</v>
      </c>
      <c r="AP2" s="5" t="s">
        <v>3</v>
      </c>
      <c r="AQ2" s="5" t="s">
        <v>4</v>
      </c>
      <c r="AR2" s="5" t="s">
        <v>5</v>
      </c>
      <c r="AS2" s="5" t="s">
        <v>49</v>
      </c>
      <c r="AT2" s="5" t="s">
        <v>6</v>
      </c>
      <c r="AU2" s="4" t="s">
        <v>54</v>
      </c>
      <c r="AV2" s="4" t="s">
        <v>55</v>
      </c>
      <c r="AW2" s="5" t="s">
        <v>7</v>
      </c>
      <c r="AX2" s="5" t="s">
        <v>8</v>
      </c>
      <c r="AY2" s="5" t="s">
        <v>9</v>
      </c>
      <c r="AZ2" s="5" t="s">
        <v>10</v>
      </c>
      <c r="BA2" s="4" t="s">
        <v>47</v>
      </c>
      <c r="BB2" s="5" t="s">
        <v>46</v>
      </c>
      <c r="BC2" s="5" t="s">
        <v>48</v>
      </c>
      <c r="BD2" s="5" t="s">
        <v>30</v>
      </c>
      <c r="BE2" s="4" t="s">
        <v>11</v>
      </c>
      <c r="BF2" s="4" t="s">
        <v>24</v>
      </c>
      <c r="BG2" s="4" t="s">
        <v>31</v>
      </c>
      <c r="BI2" s="4" t="s">
        <v>1</v>
      </c>
      <c r="BJ2" s="5" t="s">
        <v>3</v>
      </c>
      <c r="BK2" s="5" t="s">
        <v>4</v>
      </c>
      <c r="BL2" s="5" t="s">
        <v>5</v>
      </c>
      <c r="BM2" s="5" t="s">
        <v>49</v>
      </c>
      <c r="BN2" s="5" t="s">
        <v>6</v>
      </c>
      <c r="BO2" s="4" t="s">
        <v>54</v>
      </c>
      <c r="BP2" s="4" t="s">
        <v>55</v>
      </c>
      <c r="BQ2" s="5" t="s">
        <v>7</v>
      </c>
      <c r="BR2" s="5" t="s">
        <v>8</v>
      </c>
      <c r="BS2" s="5" t="s">
        <v>9</v>
      </c>
      <c r="BT2" s="5" t="s">
        <v>10</v>
      </c>
      <c r="BU2" s="4" t="s">
        <v>47</v>
      </c>
      <c r="BV2" s="5" t="s">
        <v>46</v>
      </c>
      <c r="BW2" s="5" t="s">
        <v>48</v>
      </c>
      <c r="BX2" s="5" t="s">
        <v>30</v>
      </c>
      <c r="BY2" s="4" t="s">
        <v>11</v>
      </c>
      <c r="BZ2" s="4" t="s">
        <v>24</v>
      </c>
      <c r="CA2" s="4" t="s">
        <v>31</v>
      </c>
      <c r="CC2" s="4" t="s">
        <v>1</v>
      </c>
      <c r="CD2" s="5" t="s">
        <v>3</v>
      </c>
      <c r="CE2" s="5" t="s">
        <v>4</v>
      </c>
      <c r="CF2" s="5" t="s">
        <v>5</v>
      </c>
      <c r="CG2" s="5" t="s">
        <v>49</v>
      </c>
      <c r="CH2" s="5" t="s">
        <v>6</v>
      </c>
      <c r="CI2" s="4" t="s">
        <v>54</v>
      </c>
      <c r="CJ2" s="4" t="s">
        <v>55</v>
      </c>
      <c r="CK2" s="5" t="s">
        <v>7</v>
      </c>
      <c r="CL2" s="5" t="s">
        <v>8</v>
      </c>
      <c r="CM2" s="5" t="s">
        <v>9</v>
      </c>
      <c r="CN2" s="5" t="s">
        <v>10</v>
      </c>
      <c r="CO2" s="4" t="s">
        <v>47</v>
      </c>
      <c r="CP2" s="5" t="s">
        <v>46</v>
      </c>
      <c r="CQ2" s="5" t="s">
        <v>48</v>
      </c>
      <c r="CR2" s="5" t="s">
        <v>30</v>
      </c>
      <c r="CS2" s="4" t="s">
        <v>11</v>
      </c>
      <c r="CT2" s="4" t="s">
        <v>24</v>
      </c>
      <c r="CU2" s="4" t="s">
        <v>31</v>
      </c>
    </row>
    <row r="3" spans="1:99" x14ac:dyDescent="0.35">
      <c r="A3" s="2" t="s">
        <v>2</v>
      </c>
      <c r="B3" s="3" t="s">
        <v>12</v>
      </c>
      <c r="C3" s="3" t="s">
        <v>13</v>
      </c>
      <c r="D3" s="3" t="s">
        <v>14</v>
      </c>
      <c r="E3" s="3" t="s">
        <v>53</v>
      </c>
      <c r="F3" s="3" t="s">
        <v>15</v>
      </c>
      <c r="G3" s="3" t="s">
        <v>56</v>
      </c>
      <c r="H3" s="3" t="s">
        <v>57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51</v>
      </c>
      <c r="N3" s="3" t="s">
        <v>50</v>
      </c>
      <c r="O3" s="3" t="s">
        <v>52</v>
      </c>
      <c r="P3" s="3" t="s">
        <v>20</v>
      </c>
      <c r="Q3" s="3" t="s">
        <v>21</v>
      </c>
      <c r="R3" s="3" t="s">
        <v>25</v>
      </c>
      <c r="S3" s="3" t="s">
        <v>32</v>
      </c>
      <c r="U3" s="2" t="s">
        <v>2</v>
      </c>
      <c r="V3" s="3" t="s">
        <v>12</v>
      </c>
      <c r="W3" s="3" t="s">
        <v>13</v>
      </c>
      <c r="X3" s="3" t="s">
        <v>14</v>
      </c>
      <c r="Y3" s="3" t="s">
        <v>53</v>
      </c>
      <c r="Z3" s="3" t="s">
        <v>15</v>
      </c>
      <c r="AA3" s="3" t="s">
        <v>56</v>
      </c>
      <c r="AB3" s="3" t="s">
        <v>57</v>
      </c>
      <c r="AC3" s="3" t="s">
        <v>16</v>
      </c>
      <c r="AD3" s="3" t="s">
        <v>17</v>
      </c>
      <c r="AE3" s="3" t="s">
        <v>18</v>
      </c>
      <c r="AF3" s="3" t="s">
        <v>19</v>
      </c>
      <c r="AG3" s="3" t="s">
        <v>51</v>
      </c>
      <c r="AH3" s="3" t="s">
        <v>50</v>
      </c>
      <c r="AI3" s="3" t="s">
        <v>52</v>
      </c>
      <c r="AJ3" s="3" t="s">
        <v>20</v>
      </c>
      <c r="AK3" s="3" t="s">
        <v>21</v>
      </c>
      <c r="AL3" s="3" t="s">
        <v>25</v>
      </c>
      <c r="AM3" s="3" t="s">
        <v>32</v>
      </c>
      <c r="AO3" s="2" t="s">
        <v>2</v>
      </c>
      <c r="AP3" s="3" t="s">
        <v>12</v>
      </c>
      <c r="AQ3" s="3" t="s">
        <v>13</v>
      </c>
      <c r="AR3" s="3" t="s">
        <v>14</v>
      </c>
      <c r="AS3" s="3" t="s">
        <v>53</v>
      </c>
      <c r="AT3" s="3" t="s">
        <v>15</v>
      </c>
      <c r="AU3" s="3" t="s">
        <v>56</v>
      </c>
      <c r="AV3" s="3" t="s">
        <v>57</v>
      </c>
      <c r="AW3" s="3" t="s">
        <v>16</v>
      </c>
      <c r="AX3" s="3" t="s">
        <v>17</v>
      </c>
      <c r="AY3" s="3" t="s">
        <v>18</v>
      </c>
      <c r="AZ3" s="3" t="s">
        <v>19</v>
      </c>
      <c r="BA3" s="3" t="s">
        <v>51</v>
      </c>
      <c r="BB3" s="3" t="s">
        <v>50</v>
      </c>
      <c r="BC3" s="3" t="s">
        <v>52</v>
      </c>
      <c r="BD3" s="3" t="s">
        <v>20</v>
      </c>
      <c r="BE3" s="3" t="s">
        <v>21</v>
      </c>
      <c r="BF3" s="3" t="s">
        <v>25</v>
      </c>
      <c r="BG3" s="3" t="s">
        <v>32</v>
      </c>
      <c r="BI3" s="2" t="s">
        <v>2</v>
      </c>
      <c r="BJ3" s="3" t="s">
        <v>12</v>
      </c>
      <c r="BK3" s="3" t="s">
        <v>13</v>
      </c>
      <c r="BL3" s="3" t="s">
        <v>14</v>
      </c>
      <c r="BM3" s="3" t="s">
        <v>53</v>
      </c>
      <c r="BN3" s="3" t="s">
        <v>15</v>
      </c>
      <c r="BO3" s="3" t="s">
        <v>56</v>
      </c>
      <c r="BP3" s="3" t="s">
        <v>57</v>
      </c>
      <c r="BQ3" s="3" t="s">
        <v>16</v>
      </c>
      <c r="BR3" s="3" t="s">
        <v>17</v>
      </c>
      <c r="BS3" s="3" t="s">
        <v>18</v>
      </c>
      <c r="BT3" s="3" t="s">
        <v>19</v>
      </c>
      <c r="BU3" s="3" t="s">
        <v>51</v>
      </c>
      <c r="BV3" s="3" t="s">
        <v>50</v>
      </c>
      <c r="BW3" s="3" t="s">
        <v>52</v>
      </c>
      <c r="BX3" s="3" t="s">
        <v>20</v>
      </c>
      <c r="BY3" s="3" t="s">
        <v>21</v>
      </c>
      <c r="BZ3" s="3" t="s">
        <v>25</v>
      </c>
      <c r="CA3" s="3" t="s">
        <v>32</v>
      </c>
      <c r="CC3" s="2" t="s">
        <v>2</v>
      </c>
      <c r="CD3" s="3" t="s">
        <v>12</v>
      </c>
      <c r="CE3" s="3" t="s">
        <v>13</v>
      </c>
      <c r="CF3" s="3" t="s">
        <v>14</v>
      </c>
      <c r="CG3" s="3" t="s">
        <v>53</v>
      </c>
      <c r="CH3" s="3" t="s">
        <v>15</v>
      </c>
      <c r="CI3" s="3" t="s">
        <v>56</v>
      </c>
      <c r="CJ3" s="3" t="s">
        <v>57</v>
      </c>
      <c r="CK3" s="3" t="s">
        <v>16</v>
      </c>
      <c r="CL3" s="3" t="s">
        <v>17</v>
      </c>
      <c r="CM3" s="3" t="s">
        <v>18</v>
      </c>
      <c r="CN3" s="3" t="s">
        <v>19</v>
      </c>
      <c r="CO3" s="3" t="s">
        <v>51</v>
      </c>
      <c r="CP3" s="3" t="s">
        <v>50</v>
      </c>
      <c r="CQ3" s="3" t="s">
        <v>52</v>
      </c>
      <c r="CR3" s="3" t="s">
        <v>20</v>
      </c>
      <c r="CS3" s="3" t="s">
        <v>21</v>
      </c>
      <c r="CT3" s="3" t="s">
        <v>25</v>
      </c>
      <c r="CU3" s="3" t="s">
        <v>32</v>
      </c>
    </row>
    <row r="4" spans="1:99" x14ac:dyDescent="0.35">
      <c r="A4" s="9">
        <v>41274</v>
      </c>
      <c r="B4" s="2" t="e">
        <f ca="1">[1]!WSD(B1,B3:S3,#REF!,#REF!,"unit=1","industryType=6","industryStandard=1","Per=FY","Days=Alldays","TradingCalendar=SSE","rptType=1","Version=1","ShowParams=Y","UnitMask=14239","cols=18;rows=13")</f>
        <v>#NAME?</v>
      </c>
      <c r="C4" s="6">
        <v>33314806335.360004</v>
      </c>
      <c r="D4" s="6">
        <v>9832000000</v>
      </c>
      <c r="E4" s="6"/>
      <c r="F4" s="6"/>
      <c r="G4" s="6"/>
      <c r="H4" s="6"/>
      <c r="I4" s="6">
        <v>66129000000</v>
      </c>
      <c r="J4" s="6"/>
      <c r="K4" s="6"/>
      <c r="L4" s="6"/>
      <c r="M4" s="6">
        <v>67.540000000000006</v>
      </c>
      <c r="N4" s="6"/>
      <c r="O4" s="6">
        <v>33314806335.360004</v>
      </c>
      <c r="P4" s="7" t="s">
        <v>114</v>
      </c>
      <c r="Q4" s="7" t="s">
        <v>112</v>
      </c>
      <c r="R4" s="6"/>
      <c r="S4" s="7" t="s">
        <v>115</v>
      </c>
      <c r="U4" s="9">
        <v>41274</v>
      </c>
      <c r="V4" s="2" t="e">
        <f ca="1">[1]!WSD(V1,V3:AM3,#REF!,#REF!,"unit=1","industryType=6","industryStandard=1","Per=FY","Days=Alldays","TradingCalendar=SSE","rptType=1","Version=1","ShowParams=Y","UnitMask=14239","cols=18;rows=13")</f>
        <v>#NAME?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7" t="s">
        <v>26</v>
      </c>
      <c r="AK4" s="7" t="s">
        <v>112</v>
      </c>
      <c r="AL4" s="6"/>
      <c r="AM4" s="7" t="s">
        <v>116</v>
      </c>
      <c r="AO4" s="1">
        <v>41274</v>
      </c>
      <c r="AP4" s="2" t="e">
        <f ca="1">[1]!WSD(AP1,AP3:BG3,#REF!,#REF!,"unit=1","industryType=6","industryStandard=1","Per=FY","Days=Alldays","TradingCalendar=SSE","rptType=1","Version=1","ShowParams=Y","UnitMask=14239","cols=18;rows=13")</f>
        <v>#NAME?</v>
      </c>
      <c r="AQ4" s="6">
        <v>57902980830</v>
      </c>
      <c r="AR4" s="6">
        <v>9838833000</v>
      </c>
      <c r="AS4" s="6"/>
      <c r="AT4" s="6"/>
      <c r="AU4" s="6"/>
      <c r="AV4" s="6"/>
      <c r="AW4" s="6">
        <v>61121653000</v>
      </c>
      <c r="AX4" s="6"/>
      <c r="AY4" s="6"/>
      <c r="AZ4" s="6"/>
      <c r="BA4" s="6">
        <v>562</v>
      </c>
      <c r="BB4" s="6"/>
      <c r="BC4" s="6">
        <v>57902980830</v>
      </c>
      <c r="BD4" s="7" t="s">
        <v>26</v>
      </c>
      <c r="BE4" s="7" t="s">
        <v>112</v>
      </c>
      <c r="BF4" s="6"/>
      <c r="BG4" s="7" t="s">
        <v>113</v>
      </c>
      <c r="BI4" s="1">
        <v>41274</v>
      </c>
      <c r="BJ4" s="2" t="e">
        <f ca="1">[1]!WSD(BJ1,BJ3:CA3,#REF!,#REF!,"unit=1","industryType=6","industryStandard=1","Per=FY","Days=Alldays","TradingCalendar=SSE","rptType=1","Version=1","ShowParams=Y","UnitMask=14239","cols=18;rows=13")</f>
        <v>#NAME?</v>
      </c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7" t="s">
        <v>23</v>
      </c>
      <c r="BY4" s="7" t="s">
        <v>112</v>
      </c>
      <c r="BZ4" s="6"/>
      <c r="CA4" s="7" t="s">
        <v>117</v>
      </c>
      <c r="CC4" s="1">
        <v>41274</v>
      </c>
      <c r="CD4" s="2" t="e">
        <f ca="1">[1]!WSD(CD1,CD3:CU3,#REF!,#REF!,"unit=1","industryType=6","industryStandard=1","Per=FY","Days=Alldays","TradingCalendar=SSE","rptType=1","Version=1","ShowParams=Y","UnitMask=14239","cols=18;rows=13")</f>
        <v>#NAME?</v>
      </c>
      <c r="CE4" s="6">
        <v>253715834404.362</v>
      </c>
      <c r="CF4" s="6"/>
      <c r="CG4" s="6"/>
      <c r="CH4" s="6"/>
      <c r="CI4" s="6"/>
      <c r="CJ4" s="6"/>
      <c r="CK4" s="6"/>
      <c r="CL4" s="6"/>
      <c r="CM4" s="6"/>
      <c r="CN4" s="6"/>
      <c r="CO4" s="6">
        <v>0.20130000000000001</v>
      </c>
      <c r="CP4" s="6"/>
      <c r="CQ4" s="6">
        <v>253715834404.362</v>
      </c>
      <c r="CR4" s="7" t="s">
        <v>118</v>
      </c>
      <c r="CS4" s="7" t="s">
        <v>112</v>
      </c>
      <c r="CT4" s="6"/>
      <c r="CU4" s="7" t="s">
        <v>119</v>
      </c>
    </row>
    <row r="5" spans="1:99" x14ac:dyDescent="0.35">
      <c r="A5" s="9">
        <v>41639</v>
      </c>
      <c r="B5" s="6"/>
      <c r="C5" s="6">
        <v>35268117456</v>
      </c>
      <c r="D5" s="6">
        <v>12701000000</v>
      </c>
      <c r="E5" s="6"/>
      <c r="F5" s="6"/>
      <c r="G5" s="6"/>
      <c r="H5" s="6"/>
      <c r="I5" s="6">
        <v>62543000000</v>
      </c>
      <c r="J5" s="6"/>
      <c r="K5" s="6"/>
      <c r="L5" s="6"/>
      <c r="M5" s="6">
        <v>71.5</v>
      </c>
      <c r="N5" s="6"/>
      <c r="O5" s="6">
        <v>35268117456</v>
      </c>
      <c r="P5" s="7" t="s">
        <v>114</v>
      </c>
      <c r="Q5" s="7" t="s">
        <v>112</v>
      </c>
      <c r="R5" s="6"/>
      <c r="S5" s="7" t="s">
        <v>115</v>
      </c>
      <c r="U5" s="9">
        <v>41639</v>
      </c>
      <c r="V5" s="6"/>
      <c r="W5" s="6"/>
      <c r="X5" s="6"/>
      <c r="Y5" s="6"/>
      <c r="Z5" s="6"/>
      <c r="AA5" s="6"/>
      <c r="AB5" s="6"/>
      <c r="AC5" s="6">
        <v>39921000000</v>
      </c>
      <c r="AD5" s="6"/>
      <c r="AE5" s="6"/>
      <c r="AF5" s="6"/>
      <c r="AG5" s="6"/>
      <c r="AH5" s="6"/>
      <c r="AI5" s="6"/>
      <c r="AJ5" s="7" t="s">
        <v>26</v>
      </c>
      <c r="AK5" s="7" t="s">
        <v>112</v>
      </c>
      <c r="AL5" s="6"/>
      <c r="AM5" s="7" t="s">
        <v>116</v>
      </c>
      <c r="AO5" s="1">
        <v>41639</v>
      </c>
      <c r="AP5" s="6"/>
      <c r="AQ5" s="6">
        <v>57228601352</v>
      </c>
      <c r="AR5" s="6">
        <v>6930000000</v>
      </c>
      <c r="AS5" s="6"/>
      <c r="AT5" s="6"/>
      <c r="AU5" s="6"/>
      <c r="AV5" s="6"/>
      <c r="AW5" s="6">
        <v>65316000000</v>
      </c>
      <c r="AX5" s="6"/>
      <c r="AY5" s="6"/>
      <c r="AZ5" s="6"/>
      <c r="BA5" s="6">
        <v>611</v>
      </c>
      <c r="BB5" s="6"/>
      <c r="BC5" s="6">
        <v>57228601352</v>
      </c>
      <c r="BD5" s="7" t="s">
        <v>26</v>
      </c>
      <c r="BE5" s="7" t="s">
        <v>112</v>
      </c>
      <c r="BF5" s="6"/>
      <c r="BG5" s="7" t="s">
        <v>113</v>
      </c>
      <c r="BI5" s="1">
        <v>41639</v>
      </c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7" t="s">
        <v>23</v>
      </c>
      <c r="BY5" s="7" t="s">
        <v>112</v>
      </c>
      <c r="BZ5" s="6"/>
      <c r="CA5" s="7" t="s">
        <v>117</v>
      </c>
      <c r="CC5" s="1">
        <v>41639</v>
      </c>
      <c r="CD5" s="6"/>
      <c r="CE5" s="6">
        <v>113686876618.34801</v>
      </c>
      <c r="CF5" s="6"/>
      <c r="CG5" s="6"/>
      <c r="CH5" s="6"/>
      <c r="CI5" s="6"/>
      <c r="CJ5" s="6"/>
      <c r="CK5" s="6"/>
      <c r="CL5" s="6"/>
      <c r="CM5" s="6"/>
      <c r="CN5" s="6"/>
      <c r="CO5" s="6">
        <v>9.0200000000000002E-2</v>
      </c>
      <c r="CP5" s="6"/>
      <c r="CQ5" s="6">
        <v>113686876618.34801</v>
      </c>
      <c r="CR5" s="7" t="s">
        <v>118</v>
      </c>
      <c r="CS5" s="7" t="s">
        <v>112</v>
      </c>
      <c r="CT5" s="6"/>
      <c r="CU5" s="7" t="s">
        <v>119</v>
      </c>
    </row>
    <row r="6" spans="1:99" x14ac:dyDescent="0.35">
      <c r="A6" s="9">
        <v>42004</v>
      </c>
      <c r="B6" s="6"/>
      <c r="C6" s="6">
        <v>123711152531.20001</v>
      </c>
      <c r="D6" s="6">
        <v>6749000000</v>
      </c>
      <c r="E6" s="6"/>
      <c r="F6" s="6"/>
      <c r="G6" s="6"/>
      <c r="H6" s="6"/>
      <c r="I6" s="6">
        <v>61260000000</v>
      </c>
      <c r="J6" s="6"/>
      <c r="K6" s="6"/>
      <c r="L6" s="6"/>
      <c r="M6" s="6">
        <v>187.3</v>
      </c>
      <c r="N6" s="6"/>
      <c r="O6" s="6">
        <v>123711152531.20001</v>
      </c>
      <c r="P6" s="7" t="s">
        <v>114</v>
      </c>
      <c r="Q6" s="7" t="s">
        <v>112</v>
      </c>
      <c r="R6" s="6"/>
      <c r="S6" s="7" t="s">
        <v>115</v>
      </c>
      <c r="U6" s="9">
        <v>42004</v>
      </c>
      <c r="V6" s="6"/>
      <c r="W6" s="6"/>
      <c r="X6" s="6"/>
      <c r="Y6" s="6"/>
      <c r="Z6" s="6"/>
      <c r="AA6" s="6"/>
      <c r="AB6" s="6"/>
      <c r="AC6" s="6">
        <v>51481000000</v>
      </c>
      <c r="AD6" s="6"/>
      <c r="AE6" s="6"/>
      <c r="AF6" s="6"/>
      <c r="AG6" s="6"/>
      <c r="AH6" s="6"/>
      <c r="AI6" s="6"/>
      <c r="AJ6" s="7" t="s">
        <v>26</v>
      </c>
      <c r="AK6" s="7" t="s">
        <v>112</v>
      </c>
      <c r="AL6" s="6"/>
      <c r="AM6" s="7" t="s">
        <v>116</v>
      </c>
      <c r="AO6" s="1">
        <v>42004</v>
      </c>
      <c r="AP6" s="6"/>
      <c r="AQ6" s="6">
        <v>47187838470</v>
      </c>
      <c r="AR6" s="6">
        <v>27189324000</v>
      </c>
      <c r="AS6" s="6"/>
      <c r="AT6" s="6"/>
      <c r="AU6" s="6"/>
      <c r="AV6" s="6"/>
      <c r="AW6" s="6">
        <v>184694354000</v>
      </c>
      <c r="AX6" s="6"/>
      <c r="AY6" s="6"/>
      <c r="AZ6" s="6"/>
      <c r="BA6" s="6">
        <v>458</v>
      </c>
      <c r="BB6" s="6"/>
      <c r="BC6" s="6">
        <v>47187838470</v>
      </c>
      <c r="BD6" s="7" t="s">
        <v>26</v>
      </c>
      <c r="BE6" s="7" t="s">
        <v>112</v>
      </c>
      <c r="BF6" s="6"/>
      <c r="BG6" s="7" t="s">
        <v>113</v>
      </c>
      <c r="BI6" s="1">
        <v>42004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7" t="s">
        <v>23</v>
      </c>
      <c r="BY6" s="7" t="s">
        <v>112</v>
      </c>
      <c r="BZ6" s="6"/>
      <c r="CA6" s="7" t="s">
        <v>117</v>
      </c>
      <c r="CC6" s="1">
        <v>42004</v>
      </c>
      <c r="CD6" s="6"/>
      <c r="CE6" s="6">
        <v>58252205263.979095</v>
      </c>
      <c r="CF6" s="6"/>
      <c r="CG6" s="6"/>
      <c r="CH6" s="6"/>
      <c r="CI6" s="6"/>
      <c r="CJ6" s="6"/>
      <c r="CK6" s="6"/>
      <c r="CL6" s="6"/>
      <c r="CM6" s="6"/>
      <c r="CN6" s="6"/>
      <c r="CO6" s="6">
        <v>4.5699999999999998E-2</v>
      </c>
      <c r="CP6" s="6"/>
      <c r="CQ6" s="6">
        <v>58252205263.979095</v>
      </c>
      <c r="CR6" s="7" t="s">
        <v>118</v>
      </c>
      <c r="CS6" s="7" t="s">
        <v>112</v>
      </c>
      <c r="CT6" s="6"/>
      <c r="CU6" s="7" t="s">
        <v>119</v>
      </c>
    </row>
    <row r="7" spans="1:99" x14ac:dyDescent="0.35">
      <c r="A7" s="9">
        <v>42369</v>
      </c>
      <c r="B7" s="6"/>
      <c r="C7" s="6">
        <v>144648918336</v>
      </c>
      <c r="D7" s="6">
        <v>15637000000</v>
      </c>
      <c r="E7" s="6"/>
      <c r="F7" s="6"/>
      <c r="G7" s="6"/>
      <c r="H7" s="6"/>
      <c r="I7" s="6">
        <v>51132000000</v>
      </c>
      <c r="J7" s="6"/>
      <c r="K7" s="6"/>
      <c r="L7" s="6"/>
      <c r="M7" s="6">
        <v>219</v>
      </c>
      <c r="N7" s="6"/>
      <c r="O7" s="6">
        <v>144648918336</v>
      </c>
      <c r="P7" s="7" t="s">
        <v>114</v>
      </c>
      <c r="Q7" s="7" t="s">
        <v>112</v>
      </c>
      <c r="R7" s="6"/>
      <c r="S7" s="7" t="s">
        <v>115</v>
      </c>
      <c r="U7" s="9">
        <v>42369</v>
      </c>
      <c r="V7" s="6"/>
      <c r="W7" s="6"/>
      <c r="X7" s="6"/>
      <c r="Y7" s="6"/>
      <c r="Z7" s="6"/>
      <c r="AA7" s="6"/>
      <c r="AB7" s="6"/>
      <c r="AC7" s="6">
        <v>42404000000</v>
      </c>
      <c r="AD7" s="6"/>
      <c r="AE7" s="6"/>
      <c r="AF7" s="6"/>
      <c r="AG7" s="6"/>
      <c r="AH7" s="6"/>
      <c r="AI7" s="6"/>
      <c r="AJ7" s="7" t="s">
        <v>26</v>
      </c>
      <c r="AK7" s="7" t="s">
        <v>112</v>
      </c>
      <c r="AL7" s="6"/>
      <c r="AM7" s="7" t="s">
        <v>116</v>
      </c>
      <c r="AO7" s="1">
        <v>42369</v>
      </c>
      <c r="AP7" s="6"/>
      <c r="AQ7" s="6">
        <v>69339334695</v>
      </c>
      <c r="AR7" s="6">
        <v>27924988000</v>
      </c>
      <c r="AS7" s="6"/>
      <c r="AT7" s="6"/>
      <c r="AU7" s="6"/>
      <c r="AV7" s="6"/>
      <c r="AW7" s="6">
        <v>173660702000</v>
      </c>
      <c r="AX7" s="6"/>
      <c r="AY7" s="6"/>
      <c r="AZ7" s="6"/>
      <c r="BA7" s="6">
        <v>673</v>
      </c>
      <c r="BB7" s="6"/>
      <c r="BC7" s="6">
        <v>69339334695</v>
      </c>
      <c r="BD7" s="7" t="s">
        <v>26</v>
      </c>
      <c r="BE7" s="7" t="s">
        <v>112</v>
      </c>
      <c r="BF7" s="6"/>
      <c r="BG7" s="7" t="s">
        <v>113</v>
      </c>
      <c r="BI7" s="1">
        <v>42369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7" t="s">
        <v>23</v>
      </c>
      <c r="BY7" s="7" t="s">
        <v>112</v>
      </c>
      <c r="BZ7" s="6"/>
      <c r="CA7" s="7" t="s">
        <v>117</v>
      </c>
      <c r="CC7" s="1">
        <v>42369</v>
      </c>
      <c r="CD7" s="6"/>
      <c r="CE7" s="6">
        <v>75715120189.9422</v>
      </c>
      <c r="CF7" s="6"/>
      <c r="CG7" s="6"/>
      <c r="CH7" s="6"/>
      <c r="CI7" s="6"/>
      <c r="CJ7" s="6"/>
      <c r="CK7" s="6"/>
      <c r="CL7" s="6"/>
      <c r="CM7" s="6"/>
      <c r="CN7" s="6"/>
      <c r="CO7" s="6">
        <v>5.9400000000000001E-2</v>
      </c>
      <c r="CP7" s="6"/>
      <c r="CQ7" s="6">
        <v>75715120189.9422</v>
      </c>
      <c r="CR7" s="7" t="s">
        <v>118</v>
      </c>
      <c r="CS7" s="7" t="s">
        <v>112</v>
      </c>
      <c r="CT7" s="6"/>
      <c r="CU7" s="7" t="s">
        <v>119</v>
      </c>
    </row>
    <row r="8" spans="1:99" x14ac:dyDescent="0.35">
      <c r="A8" s="9">
        <v>42735</v>
      </c>
      <c r="B8" s="6"/>
      <c r="C8" s="6">
        <v>191544229760</v>
      </c>
      <c r="D8" s="6">
        <v>24001000000</v>
      </c>
      <c r="E8" s="6"/>
      <c r="F8" s="6"/>
      <c r="G8" s="6"/>
      <c r="H8" s="6"/>
      <c r="I8" s="6">
        <v>60090000000</v>
      </c>
      <c r="J8" s="6"/>
      <c r="K8" s="6"/>
      <c r="L8" s="6"/>
      <c r="M8" s="6">
        <v>290</v>
      </c>
      <c r="N8" s="6"/>
      <c r="O8" s="6">
        <v>191544229760</v>
      </c>
      <c r="P8" s="7" t="s">
        <v>114</v>
      </c>
      <c r="Q8" s="7" t="s">
        <v>112</v>
      </c>
      <c r="R8" s="6"/>
      <c r="S8" s="7" t="s">
        <v>115</v>
      </c>
      <c r="U8" s="9">
        <v>42735</v>
      </c>
      <c r="V8" s="6"/>
      <c r="W8" s="6"/>
      <c r="X8" s="6"/>
      <c r="Y8" s="6"/>
      <c r="Z8" s="6"/>
      <c r="AA8" s="6"/>
      <c r="AB8" s="6"/>
      <c r="AC8" s="6">
        <v>49022000000</v>
      </c>
      <c r="AD8" s="6"/>
      <c r="AE8" s="6"/>
      <c r="AF8" s="6"/>
      <c r="AG8" s="6"/>
      <c r="AH8" s="6"/>
      <c r="AI8" s="6"/>
      <c r="AJ8" s="7" t="s">
        <v>26</v>
      </c>
      <c r="AK8" s="7" t="s">
        <v>112</v>
      </c>
      <c r="AL8" s="6"/>
      <c r="AM8" s="7" t="s">
        <v>116</v>
      </c>
      <c r="AO8" s="1">
        <v>42735</v>
      </c>
      <c r="AP8" s="6"/>
      <c r="AQ8" s="6">
        <v>98084764680</v>
      </c>
      <c r="AR8" s="6">
        <v>27762000000</v>
      </c>
      <c r="AS8" s="6"/>
      <c r="AT8" s="6"/>
      <c r="AU8" s="6"/>
      <c r="AV8" s="6"/>
      <c r="AW8" s="6">
        <v>196144000000</v>
      </c>
      <c r="AX8" s="6"/>
      <c r="AY8" s="6"/>
      <c r="AZ8" s="6"/>
      <c r="BA8" s="6">
        <v>952</v>
      </c>
      <c r="BB8" s="6"/>
      <c r="BC8" s="6">
        <v>98084764680</v>
      </c>
      <c r="BD8" s="7" t="s">
        <v>26</v>
      </c>
      <c r="BE8" s="7" t="s">
        <v>112</v>
      </c>
      <c r="BF8" s="6"/>
      <c r="BG8" s="7" t="s">
        <v>113</v>
      </c>
      <c r="BI8" s="1">
        <v>42735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7" t="s">
        <v>23</v>
      </c>
      <c r="BY8" s="7" t="s">
        <v>112</v>
      </c>
      <c r="BZ8" s="6"/>
      <c r="CA8" s="7" t="s">
        <v>117</v>
      </c>
      <c r="CC8" s="1">
        <v>42735</v>
      </c>
      <c r="CD8" s="6"/>
      <c r="CE8" s="6">
        <v>259011993646.40158</v>
      </c>
      <c r="CF8" s="6"/>
      <c r="CG8" s="6"/>
      <c r="CH8" s="6"/>
      <c r="CI8" s="6"/>
      <c r="CJ8" s="6"/>
      <c r="CK8" s="6"/>
      <c r="CL8" s="6"/>
      <c r="CM8" s="6"/>
      <c r="CN8" s="6"/>
      <c r="CO8" s="6">
        <v>0.20319999999999999</v>
      </c>
      <c r="CP8" s="6"/>
      <c r="CQ8" s="6">
        <v>259011993646.40158</v>
      </c>
      <c r="CR8" s="7" t="s">
        <v>118</v>
      </c>
      <c r="CS8" s="7" t="s">
        <v>112</v>
      </c>
      <c r="CT8" s="6"/>
      <c r="CU8" s="7" t="s">
        <v>119</v>
      </c>
    </row>
    <row r="9" spans="1:99" x14ac:dyDescent="0.35">
      <c r="A9" s="9">
        <v>43100</v>
      </c>
      <c r="B9" s="6"/>
      <c r="C9" s="6">
        <v>215652382816</v>
      </c>
      <c r="D9" s="6">
        <v>10581000000</v>
      </c>
      <c r="E9" s="6">
        <v>12230000000</v>
      </c>
      <c r="F9" s="6"/>
      <c r="G9" s="6"/>
      <c r="H9" s="6"/>
      <c r="I9" s="6">
        <v>175134000000</v>
      </c>
      <c r="J9" s="6"/>
      <c r="K9" s="6"/>
      <c r="L9" s="6"/>
      <c r="M9" s="6">
        <v>326.5</v>
      </c>
      <c r="N9" s="6"/>
      <c r="O9" s="6">
        <v>215652382816</v>
      </c>
      <c r="P9" s="7" t="s">
        <v>114</v>
      </c>
      <c r="Q9" s="7" t="s">
        <v>112</v>
      </c>
      <c r="R9" s="6"/>
      <c r="S9" s="7" t="s">
        <v>115</v>
      </c>
      <c r="U9" s="9">
        <v>43100</v>
      </c>
      <c r="V9" s="6"/>
      <c r="W9" s="6"/>
      <c r="X9" s="6"/>
      <c r="Y9" s="6"/>
      <c r="Z9" s="6"/>
      <c r="AA9" s="6"/>
      <c r="AB9" s="6"/>
      <c r="AC9" s="6">
        <v>70645000000</v>
      </c>
      <c r="AD9" s="6"/>
      <c r="AE9" s="6"/>
      <c r="AF9" s="6"/>
      <c r="AG9" s="6"/>
      <c r="AH9" s="6"/>
      <c r="AI9" s="6"/>
      <c r="AJ9" s="7" t="s">
        <v>26</v>
      </c>
      <c r="AK9" s="7" t="s">
        <v>112</v>
      </c>
      <c r="AL9" s="6"/>
      <c r="AM9" s="7" t="s">
        <v>116</v>
      </c>
      <c r="AO9" s="1">
        <v>43100</v>
      </c>
      <c r="AP9" s="6"/>
      <c r="AQ9" s="6">
        <v>85154472697.5</v>
      </c>
      <c r="AR9" s="6">
        <v>22460000000</v>
      </c>
      <c r="AS9" s="6"/>
      <c r="AT9" s="6"/>
      <c r="AU9" s="6"/>
      <c r="AV9" s="6"/>
      <c r="AW9" s="6">
        <v>138494000000</v>
      </c>
      <c r="AX9" s="6"/>
      <c r="AY9" s="6"/>
      <c r="AZ9" s="6"/>
      <c r="BA9" s="6">
        <v>826.5</v>
      </c>
      <c r="BB9" s="6"/>
      <c r="BC9" s="6">
        <v>85154472697.5</v>
      </c>
      <c r="BD9" s="7" t="s">
        <v>26</v>
      </c>
      <c r="BE9" s="7" t="s">
        <v>112</v>
      </c>
      <c r="BF9" s="6"/>
      <c r="BG9" s="7" t="s">
        <v>113</v>
      </c>
      <c r="BI9" s="1">
        <v>43100</v>
      </c>
      <c r="BJ9" s="6"/>
      <c r="BK9" s="6"/>
      <c r="BL9" s="6">
        <v>4398297000</v>
      </c>
      <c r="BM9" s="6"/>
      <c r="BN9" s="6"/>
      <c r="BO9" s="6"/>
      <c r="BP9" s="6"/>
      <c r="BQ9" s="6">
        <v>42881378000</v>
      </c>
      <c r="BR9" s="6"/>
      <c r="BS9" s="6"/>
      <c r="BT9" s="6"/>
      <c r="BU9" s="6"/>
      <c r="BV9" s="6"/>
      <c r="BW9" s="6"/>
      <c r="BX9" s="7" t="s">
        <v>23</v>
      </c>
      <c r="BY9" s="7" t="s">
        <v>112</v>
      </c>
      <c r="BZ9" s="6"/>
      <c r="CA9" s="7" t="s">
        <v>117</v>
      </c>
      <c r="CC9" s="1">
        <v>43100</v>
      </c>
      <c r="CD9" s="6"/>
      <c r="CE9" s="6">
        <v>206623248868.5123</v>
      </c>
      <c r="CF9" s="6"/>
      <c r="CG9" s="6"/>
      <c r="CH9" s="6"/>
      <c r="CI9" s="6"/>
      <c r="CJ9" s="6"/>
      <c r="CK9" s="6"/>
      <c r="CL9" s="6"/>
      <c r="CM9" s="6"/>
      <c r="CN9" s="6"/>
      <c r="CO9" s="6">
        <v>0.16209999999999999</v>
      </c>
      <c r="CP9" s="6"/>
      <c r="CQ9" s="6">
        <v>206623248868.5123</v>
      </c>
      <c r="CR9" s="7" t="s">
        <v>118</v>
      </c>
      <c r="CS9" s="7" t="s">
        <v>112</v>
      </c>
      <c r="CT9" s="6"/>
      <c r="CU9" s="7" t="s">
        <v>119</v>
      </c>
    </row>
    <row r="10" spans="1:99" x14ac:dyDescent="0.35">
      <c r="A10" s="9">
        <v>43465</v>
      </c>
      <c r="B10" s="6"/>
      <c r="C10" s="6">
        <v>248082802406.40002</v>
      </c>
      <c r="D10" s="6">
        <v>35216000000</v>
      </c>
      <c r="E10" s="6"/>
      <c r="F10" s="6"/>
      <c r="G10" s="6"/>
      <c r="H10" s="6"/>
      <c r="I10" s="6">
        <v>245757000000</v>
      </c>
      <c r="J10" s="6"/>
      <c r="K10" s="6"/>
      <c r="L10" s="6"/>
      <c r="M10" s="6">
        <v>375.6</v>
      </c>
      <c r="N10" s="6"/>
      <c r="O10" s="6">
        <v>248082802406.40002</v>
      </c>
      <c r="P10" s="7" t="s">
        <v>114</v>
      </c>
      <c r="Q10" s="7" t="s">
        <v>112</v>
      </c>
      <c r="R10" s="6"/>
      <c r="S10" s="7" t="s">
        <v>115</v>
      </c>
      <c r="U10" s="9">
        <v>43465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7" t="s">
        <v>26</v>
      </c>
      <c r="AK10" s="7" t="s">
        <v>112</v>
      </c>
      <c r="AL10" s="6"/>
      <c r="AM10" s="7" t="s">
        <v>116</v>
      </c>
      <c r="AO10" s="1">
        <v>43465</v>
      </c>
      <c r="AP10" s="6"/>
      <c r="AQ10" s="6">
        <v>60787826850</v>
      </c>
      <c r="AR10" s="6">
        <v>24911000000</v>
      </c>
      <c r="AS10" s="6"/>
      <c r="AT10" s="6"/>
      <c r="AU10" s="6"/>
      <c r="AV10" s="6"/>
      <c r="AW10" s="6">
        <v>146376000000</v>
      </c>
      <c r="AX10" s="6"/>
      <c r="AY10" s="6"/>
      <c r="AZ10" s="6"/>
      <c r="BA10" s="6">
        <v>590</v>
      </c>
      <c r="BB10" s="6"/>
      <c r="BC10" s="6">
        <v>60787826850</v>
      </c>
      <c r="BD10" s="7" t="s">
        <v>26</v>
      </c>
      <c r="BE10" s="7" t="s">
        <v>112</v>
      </c>
      <c r="BF10" s="6"/>
      <c r="BG10" s="7" t="s">
        <v>113</v>
      </c>
      <c r="BI10" s="1">
        <v>43465</v>
      </c>
      <c r="BJ10" s="6"/>
      <c r="BK10" s="6"/>
      <c r="BL10" s="6">
        <v>3163979000</v>
      </c>
      <c r="BM10" s="6"/>
      <c r="BN10" s="6"/>
      <c r="BO10" s="6"/>
      <c r="BP10" s="6"/>
      <c r="BQ10" s="6">
        <v>39298870000</v>
      </c>
      <c r="BR10" s="6"/>
      <c r="BS10" s="6"/>
      <c r="BT10" s="6"/>
      <c r="BU10" s="6"/>
      <c r="BV10" s="6"/>
      <c r="BW10" s="6"/>
      <c r="BX10" s="7" t="s">
        <v>23</v>
      </c>
      <c r="BY10" s="7" t="s">
        <v>112</v>
      </c>
      <c r="BZ10" s="6"/>
      <c r="CA10" s="7" t="s">
        <v>117</v>
      </c>
      <c r="CC10" s="1">
        <v>43465</v>
      </c>
      <c r="CD10" s="6"/>
      <c r="CE10" s="6">
        <v>187885668619.48621</v>
      </c>
      <c r="CF10" s="6">
        <v>115960000000</v>
      </c>
      <c r="CG10" s="6">
        <v>149460000000</v>
      </c>
      <c r="CH10" s="6"/>
      <c r="CI10" s="6"/>
      <c r="CJ10" s="6"/>
      <c r="CK10" s="6">
        <v>253979000000</v>
      </c>
      <c r="CL10" s="6"/>
      <c r="CM10" s="6"/>
      <c r="CN10" s="6"/>
      <c r="CO10" s="6">
        <v>0.1474</v>
      </c>
      <c r="CP10" s="6"/>
      <c r="CQ10" s="6">
        <v>187885668619.48621</v>
      </c>
      <c r="CR10" s="7" t="s">
        <v>118</v>
      </c>
      <c r="CS10" s="7" t="s">
        <v>112</v>
      </c>
      <c r="CT10" s="6"/>
      <c r="CU10" s="7" t="s">
        <v>119</v>
      </c>
    </row>
    <row r="11" spans="1:99" x14ac:dyDescent="0.35">
      <c r="A11" s="9">
        <v>43830</v>
      </c>
      <c r="B11" s="6"/>
      <c r="C11" s="6">
        <v>264463136537.59998</v>
      </c>
      <c r="D11" s="6">
        <v>58997000000</v>
      </c>
      <c r="E11" s="6"/>
      <c r="F11" s="6"/>
      <c r="G11" s="6"/>
      <c r="H11" s="6"/>
      <c r="I11" s="6">
        <v>280635000000</v>
      </c>
      <c r="J11" s="6"/>
      <c r="K11" s="6"/>
      <c r="L11" s="6"/>
      <c r="M11" s="6">
        <v>400.4</v>
      </c>
      <c r="N11" s="6"/>
      <c r="O11" s="6">
        <v>264463136537.59998</v>
      </c>
      <c r="P11" s="7" t="s">
        <v>114</v>
      </c>
      <c r="Q11" s="7" t="s">
        <v>112</v>
      </c>
      <c r="R11" s="6"/>
      <c r="S11" s="7" t="s">
        <v>115</v>
      </c>
      <c r="U11" s="9">
        <v>43830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7" t="s">
        <v>26</v>
      </c>
      <c r="AK11" s="7" t="s">
        <v>112</v>
      </c>
      <c r="AL11" s="6"/>
      <c r="AM11" s="7" t="s">
        <v>116</v>
      </c>
      <c r="AO11" s="1">
        <v>43830</v>
      </c>
      <c r="AP11" s="6"/>
      <c r="AQ11" s="6">
        <v>78715084260</v>
      </c>
      <c r="AR11" s="6">
        <v>16070000000</v>
      </c>
      <c r="AS11" s="6"/>
      <c r="AT11" s="6"/>
      <c r="AU11" s="6"/>
      <c r="AV11" s="6"/>
      <c r="AW11" s="6">
        <v>110438000000</v>
      </c>
      <c r="AX11" s="6"/>
      <c r="AY11" s="6"/>
      <c r="AZ11" s="6"/>
      <c r="BA11" s="6">
        <v>764</v>
      </c>
      <c r="BB11" s="6"/>
      <c r="BC11" s="6">
        <v>78715084260</v>
      </c>
      <c r="BD11" s="7" t="s">
        <v>26</v>
      </c>
      <c r="BE11" s="7" t="s">
        <v>112</v>
      </c>
      <c r="BF11" s="6"/>
      <c r="BG11" s="7" t="s">
        <v>113</v>
      </c>
      <c r="BI11" s="1">
        <v>43830</v>
      </c>
      <c r="BJ11" s="6"/>
      <c r="BK11" s="6"/>
      <c r="BL11" s="6">
        <v>1739722000</v>
      </c>
      <c r="BM11" s="6">
        <v>2042115000</v>
      </c>
      <c r="BN11" s="6"/>
      <c r="BO11" s="6"/>
      <c r="BP11" s="6"/>
      <c r="BQ11" s="6">
        <v>51145124000</v>
      </c>
      <c r="BR11" s="6"/>
      <c r="BS11" s="6"/>
      <c r="BT11" s="6"/>
      <c r="BU11" s="6"/>
      <c r="BV11" s="6"/>
      <c r="BW11" s="6"/>
      <c r="BX11" s="7" t="s">
        <v>23</v>
      </c>
      <c r="BY11" s="7" t="s">
        <v>112</v>
      </c>
      <c r="BZ11" s="6"/>
      <c r="CA11" s="7" t="s">
        <v>117</v>
      </c>
      <c r="CC11" s="1">
        <v>43830</v>
      </c>
      <c r="CD11" s="6"/>
      <c r="CE11" s="6">
        <v>255697863806.43781</v>
      </c>
      <c r="CF11" s="6">
        <v>102796000000</v>
      </c>
      <c r="CG11" s="6">
        <v>140664000000</v>
      </c>
      <c r="CH11" s="6"/>
      <c r="CI11" s="6"/>
      <c r="CJ11" s="6"/>
      <c r="CK11" s="6">
        <v>249611000000</v>
      </c>
      <c r="CL11" s="6"/>
      <c r="CM11" s="6"/>
      <c r="CN11" s="6"/>
      <c r="CO11" s="6">
        <v>0.2006</v>
      </c>
      <c r="CP11" s="6"/>
      <c r="CQ11" s="6">
        <v>255697863806.43781</v>
      </c>
      <c r="CR11" s="7" t="s">
        <v>118</v>
      </c>
      <c r="CS11" s="7" t="s">
        <v>112</v>
      </c>
      <c r="CT11" s="6"/>
      <c r="CU11" s="7" t="s">
        <v>119</v>
      </c>
    </row>
    <row r="12" spans="1:99" x14ac:dyDescent="0.35">
      <c r="A12" s="9">
        <v>44196</v>
      </c>
      <c r="B12" s="6"/>
      <c r="C12" s="6">
        <v>394911361977.59998</v>
      </c>
      <c r="D12" s="6">
        <v>105275000000</v>
      </c>
      <c r="E12" s="6">
        <v>108881000000</v>
      </c>
      <c r="F12" s="6"/>
      <c r="G12" s="6"/>
      <c r="H12" s="6"/>
      <c r="I12" s="6">
        <v>380161000000</v>
      </c>
      <c r="J12" s="6"/>
      <c r="K12" s="6"/>
      <c r="L12" s="6"/>
      <c r="M12" s="6">
        <v>597.9</v>
      </c>
      <c r="N12" s="6"/>
      <c r="O12" s="6">
        <v>394911361977.59998</v>
      </c>
      <c r="P12" s="7" t="s">
        <v>114</v>
      </c>
      <c r="Q12" s="7" t="s">
        <v>112</v>
      </c>
      <c r="R12" s="6"/>
      <c r="S12" s="7" t="s">
        <v>115</v>
      </c>
      <c r="U12" s="9">
        <v>44196</v>
      </c>
      <c r="V12" s="6"/>
      <c r="W12" s="6">
        <v>37960056947.011383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7" t="s">
        <v>26</v>
      </c>
      <c r="AK12" s="7" t="s">
        <v>112</v>
      </c>
      <c r="AL12" s="6"/>
      <c r="AM12" s="7" t="s">
        <v>116</v>
      </c>
      <c r="AO12" s="1">
        <v>44196</v>
      </c>
      <c r="AP12" s="6"/>
      <c r="AQ12" s="6">
        <v>89265378276</v>
      </c>
      <c r="AR12" s="6">
        <v>21157000000</v>
      </c>
      <c r="AS12" s="6"/>
      <c r="AT12" s="6"/>
      <c r="AU12" s="6"/>
      <c r="AV12" s="6"/>
      <c r="AW12" s="6">
        <v>118052000000</v>
      </c>
      <c r="AX12" s="6"/>
      <c r="AY12" s="6"/>
      <c r="AZ12" s="6"/>
      <c r="BA12" s="6">
        <v>866.4</v>
      </c>
      <c r="BB12" s="6"/>
      <c r="BC12" s="6">
        <v>89265378276</v>
      </c>
      <c r="BD12" s="7" t="s">
        <v>26</v>
      </c>
      <c r="BE12" s="7" t="s">
        <v>112</v>
      </c>
      <c r="BF12" s="6"/>
      <c r="BG12" s="7" t="s">
        <v>113</v>
      </c>
      <c r="BI12" s="1">
        <v>44196</v>
      </c>
      <c r="BJ12" s="6"/>
      <c r="BK12" s="6">
        <v>58993024964</v>
      </c>
      <c r="BL12" s="6">
        <v>9003273000</v>
      </c>
      <c r="BM12" s="6">
        <v>9348242000</v>
      </c>
      <c r="BN12" s="6"/>
      <c r="BO12" s="6"/>
      <c r="BP12" s="6"/>
      <c r="BQ12" s="6">
        <v>60182786000</v>
      </c>
      <c r="BR12" s="6"/>
      <c r="BS12" s="6"/>
      <c r="BT12" s="6"/>
      <c r="BU12" s="6">
        <v>958</v>
      </c>
      <c r="BV12" s="6"/>
      <c r="BW12" s="6">
        <v>58993024964</v>
      </c>
      <c r="BX12" s="7" t="s">
        <v>26</v>
      </c>
      <c r="BY12" s="7" t="s">
        <v>112</v>
      </c>
      <c r="BZ12" s="6"/>
      <c r="CA12" s="7" t="s">
        <v>117</v>
      </c>
      <c r="CC12" s="1">
        <v>44196</v>
      </c>
      <c r="CD12" s="6"/>
      <c r="CE12" s="6">
        <v>283103168252.2923</v>
      </c>
      <c r="CF12" s="6">
        <v>69879000000</v>
      </c>
      <c r="CG12" s="6">
        <v>110843000000</v>
      </c>
      <c r="CH12" s="6"/>
      <c r="CI12" s="6"/>
      <c r="CJ12" s="6"/>
      <c r="CK12" s="6">
        <v>237304000000</v>
      </c>
      <c r="CL12" s="6"/>
      <c r="CM12" s="6"/>
      <c r="CN12" s="6"/>
      <c r="CO12" s="6">
        <v>0.22209999999999999</v>
      </c>
      <c r="CP12" s="6"/>
      <c r="CQ12" s="6">
        <v>283103168252.2923</v>
      </c>
      <c r="CR12" s="7" t="s">
        <v>118</v>
      </c>
      <c r="CS12" s="7" t="s">
        <v>112</v>
      </c>
      <c r="CT12" s="6"/>
      <c r="CU12" s="7" t="s">
        <v>119</v>
      </c>
    </row>
    <row r="13" spans="1:99" x14ac:dyDescent="0.35">
      <c r="A13" s="9">
        <v>44561</v>
      </c>
      <c r="B13" s="6"/>
      <c r="C13" s="6">
        <v>733152051840</v>
      </c>
      <c r="D13" s="6">
        <v>124142000000</v>
      </c>
      <c r="E13" s="6">
        <v>128782000000</v>
      </c>
      <c r="F13" s="6"/>
      <c r="G13" s="6"/>
      <c r="H13" s="6"/>
      <c r="I13" s="6">
        <v>487806000000</v>
      </c>
      <c r="J13" s="6"/>
      <c r="K13" s="6"/>
      <c r="L13" s="6"/>
      <c r="M13" s="6">
        <v>1110</v>
      </c>
      <c r="N13" s="6"/>
      <c r="O13" s="6">
        <v>733152051840</v>
      </c>
      <c r="P13" s="7" t="s">
        <v>114</v>
      </c>
      <c r="Q13" s="7" t="s">
        <v>112</v>
      </c>
      <c r="R13" s="6"/>
      <c r="S13" s="7" t="s">
        <v>115</v>
      </c>
      <c r="U13" s="9">
        <v>44561</v>
      </c>
      <c r="V13" s="6"/>
      <c r="W13" s="6">
        <v>31178740681.113068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7" t="s">
        <v>26</v>
      </c>
      <c r="AK13" s="7" t="s">
        <v>112</v>
      </c>
      <c r="AL13" s="6"/>
      <c r="AM13" s="7" t="s">
        <v>116</v>
      </c>
      <c r="AO13" s="1">
        <v>44561</v>
      </c>
      <c r="AP13" s="6"/>
      <c r="AQ13" s="6">
        <v>62745400935</v>
      </c>
      <c r="AR13" s="6">
        <v>30957000000</v>
      </c>
      <c r="AS13" s="6">
        <v>32897000000</v>
      </c>
      <c r="AT13" s="6"/>
      <c r="AU13" s="6"/>
      <c r="AV13" s="6"/>
      <c r="AW13" s="6">
        <v>130515000000</v>
      </c>
      <c r="AX13" s="6"/>
      <c r="AY13" s="6"/>
      <c r="AZ13" s="6"/>
      <c r="BA13" s="6">
        <v>609</v>
      </c>
      <c r="BB13" s="6"/>
      <c r="BC13" s="6">
        <v>62745400935</v>
      </c>
      <c r="BD13" s="7" t="s">
        <v>26</v>
      </c>
      <c r="BE13" s="7" t="s">
        <v>112</v>
      </c>
      <c r="BF13" s="6"/>
      <c r="BG13" s="7" t="s">
        <v>113</v>
      </c>
      <c r="BI13" s="1">
        <v>44561</v>
      </c>
      <c r="BJ13" s="6"/>
      <c r="BK13" s="6">
        <v>298659886300</v>
      </c>
      <c r="BL13" s="6">
        <v>16719000000</v>
      </c>
      <c r="BM13" s="6">
        <v>17044000000</v>
      </c>
      <c r="BN13" s="6"/>
      <c r="BO13" s="6"/>
      <c r="BP13" s="6"/>
      <c r="BQ13" s="6">
        <v>93014000000</v>
      </c>
      <c r="BR13" s="6"/>
      <c r="BS13" s="6"/>
      <c r="BT13" s="6"/>
      <c r="BU13" s="6">
        <v>4850</v>
      </c>
      <c r="BV13" s="6"/>
      <c r="BW13" s="6">
        <v>298659886300</v>
      </c>
      <c r="BX13" s="7" t="s">
        <v>26</v>
      </c>
      <c r="BY13" s="7" t="s">
        <v>112</v>
      </c>
      <c r="BZ13" s="6"/>
      <c r="CA13" s="7" t="s">
        <v>117</v>
      </c>
      <c r="CC13" s="1">
        <v>44561</v>
      </c>
      <c r="CD13" s="6"/>
      <c r="CE13" s="6">
        <v>206623248868.5123</v>
      </c>
      <c r="CF13" s="6"/>
      <c r="CG13" s="6"/>
      <c r="CH13" s="6"/>
      <c r="CI13" s="6"/>
      <c r="CJ13" s="6"/>
      <c r="CK13" s="6"/>
      <c r="CL13" s="6"/>
      <c r="CM13" s="6"/>
      <c r="CN13" s="6"/>
      <c r="CO13" s="6">
        <v>0.16209999999999999</v>
      </c>
      <c r="CP13" s="6"/>
      <c r="CQ13" s="6">
        <v>206623248868.5123</v>
      </c>
      <c r="CR13" s="7" t="s">
        <v>118</v>
      </c>
      <c r="CS13" s="7" t="s">
        <v>112</v>
      </c>
      <c r="CT13" s="6"/>
      <c r="CU13" s="7" t="s">
        <v>119</v>
      </c>
    </row>
    <row r="14" spans="1:99" x14ac:dyDescent="0.35">
      <c r="A14" s="9">
        <v>44926</v>
      </c>
      <c r="B14" s="6"/>
      <c r="C14" s="6">
        <v>398279898432</v>
      </c>
      <c r="D14" s="6">
        <v>50466454000</v>
      </c>
      <c r="E14" s="6">
        <v>50466454000</v>
      </c>
      <c r="F14" s="6"/>
      <c r="G14" s="6"/>
      <c r="H14" s="6"/>
      <c r="I14" s="6">
        <v>73713641000</v>
      </c>
      <c r="J14" s="6"/>
      <c r="K14" s="6"/>
      <c r="L14" s="6"/>
      <c r="M14" s="6">
        <v>603</v>
      </c>
      <c r="N14" s="6"/>
      <c r="O14" s="6">
        <v>398279898432</v>
      </c>
      <c r="P14" s="7" t="s">
        <v>114</v>
      </c>
      <c r="Q14" s="7" t="s">
        <v>112</v>
      </c>
      <c r="R14" s="6"/>
      <c r="S14" s="7" t="s">
        <v>115</v>
      </c>
      <c r="U14" s="9">
        <v>44926</v>
      </c>
      <c r="V14" s="6"/>
      <c r="W14" s="6">
        <v>65226397621.346931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7" t="s">
        <v>26</v>
      </c>
      <c r="AK14" s="7" t="s">
        <v>112</v>
      </c>
      <c r="AL14" s="6"/>
      <c r="AM14" s="7" t="s">
        <v>116</v>
      </c>
      <c r="AO14" s="1">
        <v>44926</v>
      </c>
      <c r="AP14" s="6"/>
      <c r="AQ14" s="6">
        <v>47661777459</v>
      </c>
      <c r="AR14" s="6">
        <v>33477000000</v>
      </c>
      <c r="AS14" s="6"/>
      <c r="AT14" s="6"/>
      <c r="AU14" s="6"/>
      <c r="AV14" s="6"/>
      <c r="AW14" s="6">
        <v>139662000000</v>
      </c>
      <c r="AX14" s="6"/>
      <c r="AY14" s="6"/>
      <c r="AZ14" s="6"/>
      <c r="BA14" s="6">
        <v>462.6</v>
      </c>
      <c r="BB14" s="6"/>
      <c r="BC14" s="6">
        <v>47661777459</v>
      </c>
      <c r="BD14" s="7" t="s">
        <v>26</v>
      </c>
      <c r="BE14" s="7" t="s">
        <v>112</v>
      </c>
      <c r="BF14" s="6"/>
      <c r="BG14" s="7" t="s">
        <v>113</v>
      </c>
      <c r="BI14" s="1">
        <v>44926</v>
      </c>
      <c r="BJ14" s="6"/>
      <c r="BK14" s="6">
        <v>148744939249</v>
      </c>
      <c r="BL14" s="6">
        <v>40312000000</v>
      </c>
      <c r="BM14" s="6">
        <v>41103000000</v>
      </c>
      <c r="BN14" s="6"/>
      <c r="BO14" s="6"/>
      <c r="BP14" s="6"/>
      <c r="BQ14" s="6">
        <v>172210000000</v>
      </c>
      <c r="BR14" s="6"/>
      <c r="BS14" s="6"/>
      <c r="BT14" s="6"/>
      <c r="BU14" s="6">
        <v>2415.5</v>
      </c>
      <c r="BV14" s="6"/>
      <c r="BW14" s="6">
        <v>148744939249</v>
      </c>
      <c r="BX14" s="7" t="s">
        <v>26</v>
      </c>
      <c r="BY14" s="7" t="s">
        <v>112</v>
      </c>
      <c r="BZ14" s="6"/>
      <c r="CA14" s="7" t="s">
        <v>117</v>
      </c>
      <c r="CC14" s="1">
        <v>44926</v>
      </c>
      <c r="CD14" s="6"/>
      <c r="CE14" s="6">
        <v>110131083912.6432</v>
      </c>
      <c r="CF14" s="6">
        <v>189794000000</v>
      </c>
      <c r="CG14" s="6">
        <v>370246000000</v>
      </c>
      <c r="CH14" s="6"/>
      <c r="CI14" s="6"/>
      <c r="CJ14" s="6"/>
      <c r="CK14" s="6">
        <v>1181518000000</v>
      </c>
      <c r="CL14" s="6"/>
      <c r="CM14" s="6"/>
      <c r="CN14" s="6"/>
      <c r="CO14" s="6">
        <v>8.6400000000000005E-2</v>
      </c>
      <c r="CP14" s="6"/>
      <c r="CQ14" s="6">
        <v>110131083912.6432</v>
      </c>
      <c r="CR14" s="7" t="s">
        <v>118</v>
      </c>
      <c r="CS14" s="7" t="s">
        <v>112</v>
      </c>
      <c r="CT14" s="6"/>
      <c r="CU14" s="7" t="s">
        <v>119</v>
      </c>
    </row>
    <row r="15" spans="1:99" x14ac:dyDescent="0.35">
      <c r="A15" s="9">
        <v>45291</v>
      </c>
      <c r="B15" s="6"/>
      <c r="C15" s="6">
        <v>448213497638.40002</v>
      </c>
      <c r="D15" s="6">
        <v>31821159000</v>
      </c>
      <c r="E15" s="6">
        <v>31821159000</v>
      </c>
      <c r="F15" s="6"/>
      <c r="G15" s="6"/>
      <c r="H15" s="6"/>
      <c r="I15" s="6">
        <v>39960617000</v>
      </c>
      <c r="J15" s="6"/>
      <c r="K15" s="6"/>
      <c r="L15" s="6"/>
      <c r="M15" s="6">
        <v>678.6</v>
      </c>
      <c r="N15" s="6"/>
      <c r="O15" s="6">
        <v>448213497638.40002</v>
      </c>
      <c r="P15" s="7" t="s">
        <v>114</v>
      </c>
      <c r="Q15" s="7" t="s">
        <v>112</v>
      </c>
      <c r="R15" s="6"/>
      <c r="S15" s="7" t="s">
        <v>115</v>
      </c>
      <c r="U15" s="9">
        <v>45291</v>
      </c>
      <c r="V15" s="6"/>
      <c r="W15" s="6">
        <v>18608883803.46172</v>
      </c>
      <c r="X15" s="6"/>
      <c r="Y15" s="6"/>
      <c r="Z15" s="6"/>
      <c r="AA15" s="6"/>
      <c r="AB15" s="6"/>
      <c r="AC15" s="6">
        <v>88791000000</v>
      </c>
      <c r="AD15" s="6"/>
      <c r="AE15" s="6"/>
      <c r="AF15" s="6"/>
      <c r="AG15" s="6"/>
      <c r="AH15" s="6"/>
      <c r="AI15" s="6"/>
      <c r="AJ15" s="7" t="s">
        <v>26</v>
      </c>
      <c r="AK15" s="7" t="s">
        <v>112</v>
      </c>
      <c r="AL15" s="6"/>
      <c r="AM15" s="7" t="s">
        <v>116</v>
      </c>
      <c r="AO15" s="1">
        <v>45291</v>
      </c>
      <c r="AP15" s="6"/>
      <c r="AQ15" s="6">
        <v>66969639750</v>
      </c>
      <c r="AR15" s="6">
        <v>41734000000</v>
      </c>
      <c r="AS15" s="6"/>
      <c r="AT15" s="6"/>
      <c r="AU15" s="6"/>
      <c r="AV15" s="6"/>
      <c r="AW15" s="6">
        <v>236197000000</v>
      </c>
      <c r="AX15" s="6"/>
      <c r="AY15" s="6"/>
      <c r="AZ15" s="6"/>
      <c r="BA15" s="6">
        <v>650</v>
      </c>
      <c r="BB15" s="6"/>
      <c r="BC15" s="6">
        <v>66969639750</v>
      </c>
      <c r="BD15" s="7" t="s">
        <v>26</v>
      </c>
      <c r="BE15" s="7" t="s">
        <v>112</v>
      </c>
      <c r="BF15" s="6"/>
      <c r="BG15" s="7" t="s">
        <v>113</v>
      </c>
      <c r="BI15" s="1">
        <v>45291</v>
      </c>
      <c r="BJ15" s="6"/>
      <c r="BK15" s="6">
        <v>238743170966</v>
      </c>
      <c r="BL15" s="6">
        <v>48815000000</v>
      </c>
      <c r="BM15" s="6">
        <v>49598000000</v>
      </c>
      <c r="BN15" s="6"/>
      <c r="BO15" s="6"/>
      <c r="BP15" s="6"/>
      <c r="BQ15" s="6">
        <v>256118000000</v>
      </c>
      <c r="BR15" s="6"/>
      <c r="BS15" s="6"/>
      <c r="BT15" s="6"/>
      <c r="BU15" s="6">
        <v>3877</v>
      </c>
      <c r="BV15" s="6"/>
      <c r="BW15" s="6">
        <v>238743170966</v>
      </c>
      <c r="BX15" s="7" t="s">
        <v>26</v>
      </c>
      <c r="BY15" s="7" t="s">
        <v>112</v>
      </c>
      <c r="BZ15" s="6"/>
      <c r="CA15" s="7" t="s">
        <v>117</v>
      </c>
      <c r="CC15" s="1">
        <v>45291</v>
      </c>
      <c r="CD15" s="6"/>
      <c r="CE15" s="6">
        <v>231846573132.02692</v>
      </c>
      <c r="CF15" s="6">
        <v>227562000000</v>
      </c>
      <c r="CG15" s="6">
        <v>505428000000</v>
      </c>
      <c r="CH15" s="6"/>
      <c r="CI15" s="6"/>
      <c r="CJ15" s="6"/>
      <c r="CK15" s="6">
        <v>1378679000000</v>
      </c>
      <c r="CL15" s="6"/>
      <c r="CM15" s="6"/>
      <c r="CN15" s="6"/>
      <c r="CO15" s="6">
        <v>0.10970000000000001</v>
      </c>
      <c r="CP15" s="6"/>
      <c r="CQ15" s="6">
        <v>231846573132.02692</v>
      </c>
      <c r="CR15" s="7" t="s">
        <v>118</v>
      </c>
      <c r="CS15" s="7" t="s">
        <v>112</v>
      </c>
      <c r="CT15" s="6"/>
      <c r="CU15" s="7" t="s">
        <v>119</v>
      </c>
    </row>
    <row r="16" spans="1:99" x14ac:dyDescent="0.35">
      <c r="A16" s="9">
        <v>45657</v>
      </c>
      <c r="B16" s="6"/>
      <c r="C16" s="6">
        <v>324832593779.20001</v>
      </c>
      <c r="D16" s="6">
        <v>38600000000</v>
      </c>
      <c r="E16" s="6"/>
      <c r="F16" s="6"/>
      <c r="G16" s="6"/>
      <c r="H16" s="6"/>
      <c r="I16" s="6">
        <v>675051000000</v>
      </c>
      <c r="J16" s="6"/>
      <c r="K16" s="6"/>
      <c r="L16" s="6"/>
      <c r="M16" s="6">
        <v>491.8</v>
      </c>
      <c r="N16" s="6"/>
      <c r="O16" s="6">
        <v>324832593779.20001</v>
      </c>
      <c r="P16" s="7" t="s">
        <v>114</v>
      </c>
      <c r="Q16" s="7" t="s">
        <v>112</v>
      </c>
      <c r="R16" s="6"/>
      <c r="S16" s="7" t="s">
        <v>115</v>
      </c>
      <c r="U16" s="9">
        <v>45657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7" t="s">
        <v>26</v>
      </c>
      <c r="AK16" s="7" t="s">
        <v>112</v>
      </c>
      <c r="AL16" s="6"/>
      <c r="AM16" s="7" t="s">
        <v>116</v>
      </c>
      <c r="AO16" s="1">
        <v>45657</v>
      </c>
      <c r="AP16" s="6"/>
      <c r="AQ16" s="6">
        <v>86071441611</v>
      </c>
      <c r="AR16" s="6">
        <v>37395000000</v>
      </c>
      <c r="AS16" s="6"/>
      <c r="AT16" s="6"/>
      <c r="AU16" s="6"/>
      <c r="AV16" s="6"/>
      <c r="AW16" s="6">
        <v>239227000000</v>
      </c>
      <c r="AX16" s="6"/>
      <c r="AY16" s="6"/>
      <c r="AZ16" s="6"/>
      <c r="BA16" s="6">
        <v>835.4</v>
      </c>
      <c r="BB16" s="6"/>
      <c r="BC16" s="6">
        <v>86071441611</v>
      </c>
      <c r="BD16" s="7" t="s">
        <v>26</v>
      </c>
      <c r="BE16" s="7" t="s">
        <v>112</v>
      </c>
      <c r="BF16" s="6"/>
      <c r="BG16" s="7" t="s">
        <v>113</v>
      </c>
      <c r="BI16" s="1">
        <v>45657</v>
      </c>
      <c r="BJ16" s="6"/>
      <c r="BK16" s="6">
        <v>63488318098</v>
      </c>
      <c r="BL16" s="6"/>
      <c r="BM16" s="6"/>
      <c r="BN16" s="6"/>
      <c r="BO16" s="6"/>
      <c r="BP16" s="6"/>
      <c r="BQ16" s="6"/>
      <c r="BR16" s="6"/>
      <c r="BS16" s="6"/>
      <c r="BT16" s="6"/>
      <c r="BU16" s="6">
        <v>1031</v>
      </c>
      <c r="BV16" s="6"/>
      <c r="BW16" s="6">
        <v>63488318098</v>
      </c>
      <c r="BX16" s="7" t="s">
        <v>26</v>
      </c>
      <c r="BY16" s="7" t="s">
        <v>112</v>
      </c>
      <c r="BZ16" s="6"/>
      <c r="CA16" s="7" t="s">
        <v>117</v>
      </c>
      <c r="CC16" s="1">
        <v>45657</v>
      </c>
      <c r="CD16" s="6"/>
      <c r="CE16" s="6">
        <v>163793157864.4675</v>
      </c>
      <c r="CF16" s="6">
        <v>-105873000000</v>
      </c>
      <c r="CG16" s="6"/>
      <c r="CH16" s="6"/>
      <c r="CI16" s="6"/>
      <c r="CJ16" s="6"/>
      <c r="CK16" s="6">
        <v>1505655000000</v>
      </c>
      <c r="CL16" s="6"/>
      <c r="CM16" s="6"/>
      <c r="CN16" s="6"/>
      <c r="CO16" s="6">
        <v>7.7499999999999999E-2</v>
      </c>
      <c r="CP16" s="6"/>
      <c r="CQ16" s="6">
        <v>163793157864.4675</v>
      </c>
      <c r="CR16" s="7" t="s">
        <v>118</v>
      </c>
      <c r="CS16" s="7" t="s">
        <v>112</v>
      </c>
      <c r="CT16" s="6"/>
      <c r="CU16" s="7" t="s">
        <v>119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china</vt:lpstr>
      <vt:lpstr>usa</vt:lpstr>
      <vt:lpstr>eu</vt:lpstr>
      <vt:lpstr>ru</vt:lpstr>
    </vt:vector>
  </TitlesOfParts>
  <Company>НИУ ВШЭ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НИУ ВШЭ</dc:creator>
  <cp:lastModifiedBy>Admin</cp:lastModifiedBy>
  <dcterms:created xsi:type="dcterms:W3CDTF">2026-03-04T09:07:48Z</dcterms:created>
  <dcterms:modified xsi:type="dcterms:W3CDTF">2026-03-13T16:56:00Z</dcterms:modified>
</cp:coreProperties>
</file>